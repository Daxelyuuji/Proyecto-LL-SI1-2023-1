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workbookPr filterPrivacy="1" codeName="ThisWorkbook"/>
  <xr:revisionPtr revIDLastSave="0" documentId="8_{A055A412-E35B-4450-BF0F-4F2C3E5F64BD}" xr6:coauthVersionLast="47" xr6:coauthVersionMax="47" xr10:uidLastSave="{00000000-0000-0000-0000-000000000000}"/>
  <bookViews>
    <workbookView xWindow="-110" yWindow="-110" windowWidth="19420" windowHeight="10420" tabRatio="415" xr2:uid="{00000000-000D-0000-FFFF-FFFF00000000}"/>
  </bookViews>
  <sheets>
    <sheet name="Gantt" sheetId="11" r:id="rId1"/>
    <sheet name="Información" sheetId="12" r:id="rId2"/>
  </sheets>
  <definedNames>
    <definedName name="Hoy" localSheetId="0">TODAY()</definedName>
    <definedName name="Incremento_de_desplazamiento">Gantt!$F$4</definedName>
    <definedName name="Inicio_del_proyecto">Gantt!$F$3</definedName>
    <definedName name="_xlnm.Print_Titles" localSheetId="0">Gantt!$4:$7</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0" i="11" l="1"/>
  <c r="F11" i="11" s="1"/>
  <c r="F12" i="11" l="1"/>
  <c r="F13" i="11" s="1"/>
  <c r="F15" i="11" s="1"/>
  <c r="F16" i="11" s="1"/>
  <c r="F18" i="11" s="1"/>
  <c r="F19" i="11" s="1"/>
  <c r="F20" i="11" l="1"/>
  <c r="F22" i="11" s="1"/>
  <c r="F23" i="11" l="1"/>
  <c r="F25" i="11" s="1"/>
  <c r="F26" i="11" s="1"/>
  <c r="F27" i="11" l="1"/>
  <c r="F28" i="11" s="1"/>
  <c r="F29" i="11" s="1"/>
  <c r="F30" i="11" s="1"/>
  <c r="F31" i="11" l="1"/>
  <c r="F3" i="11"/>
  <c r="I5" i="11" s="1"/>
  <c r="I24" i="11" s="1"/>
  <c r="I27" i="11" l="1"/>
  <c r="I12" i="11"/>
  <c r="I9" i="11"/>
  <c r="I31" i="11"/>
  <c r="I4" i="11"/>
  <c r="I11" i="11"/>
  <c r="I7" i="11"/>
  <c r="I22" i="11"/>
  <c r="I23" i="11"/>
  <c r="I25" i="11"/>
  <c r="J5" i="11"/>
  <c r="J22" i="11" s="1"/>
  <c r="I15" i="11"/>
  <c r="I30" i="11"/>
  <c r="I14" i="11"/>
  <c r="I20" i="11"/>
  <c r="I19" i="11"/>
  <c r="I26" i="11"/>
  <c r="I16" i="11"/>
  <c r="I18" i="11"/>
  <c r="I10" i="11"/>
  <c r="I13" i="11"/>
  <c r="J31" i="11" l="1"/>
  <c r="J30" i="11"/>
  <c r="J10" i="11"/>
  <c r="J16" i="11"/>
  <c r="J7" i="11"/>
  <c r="J15" i="11"/>
  <c r="J23" i="11"/>
  <c r="K5" i="11"/>
  <c r="K11" i="11" s="1"/>
  <c r="J9" i="11"/>
  <c r="J26" i="11"/>
  <c r="J20" i="11"/>
  <c r="J18" i="11"/>
  <c r="J12" i="11"/>
  <c r="J19" i="11"/>
  <c r="J25" i="11"/>
  <c r="J24" i="11"/>
  <c r="J11" i="11"/>
  <c r="J14" i="11"/>
  <c r="J27" i="11"/>
  <c r="J13" i="11"/>
  <c r="K26" i="11"/>
  <c r="K13" i="11" l="1"/>
  <c r="K27" i="11"/>
  <c r="K22" i="11"/>
  <c r="K19" i="11"/>
  <c r="K16" i="11"/>
  <c r="K18" i="11"/>
  <c r="K12" i="11"/>
  <c r="K9" i="11"/>
  <c r="K23" i="11"/>
  <c r="K10" i="11"/>
  <c r="K7" i="11"/>
  <c r="K20" i="11"/>
  <c r="K15" i="11"/>
  <c r="K14" i="11"/>
  <c r="K25" i="11"/>
  <c r="L5" i="11"/>
  <c r="L24" i="11" s="1"/>
  <c r="K31" i="11"/>
  <c r="K24" i="11"/>
  <c r="K30" i="11"/>
  <c r="L7" i="11" l="1"/>
  <c r="L22" i="11"/>
  <c r="L15" i="11"/>
  <c r="L26" i="11"/>
  <c r="M5" i="11"/>
  <c r="M7" i="11" s="1"/>
  <c r="L12" i="11"/>
  <c r="L18" i="11"/>
  <c r="L19" i="11"/>
  <c r="L25" i="11"/>
  <c r="L13" i="11"/>
  <c r="L31" i="11"/>
  <c r="L23" i="11"/>
  <c r="L30" i="11"/>
  <c r="L27" i="11"/>
  <c r="L20" i="11"/>
  <c r="L9" i="11"/>
  <c r="L11" i="11"/>
  <c r="L10" i="11"/>
  <c r="L16" i="11"/>
  <c r="L14" i="11"/>
  <c r="M11" i="11"/>
  <c r="M20" i="11"/>
  <c r="N5" i="11"/>
  <c r="N24" i="11" s="1"/>
  <c r="M26" i="11"/>
  <c r="M10" i="11"/>
  <c r="M27" i="11"/>
  <c r="M18" i="11"/>
  <c r="M22" i="11"/>
  <c r="M16" i="11"/>
  <c r="M30" i="11"/>
  <c r="M25" i="11"/>
  <c r="M9" i="11"/>
  <c r="M14" i="11"/>
  <c r="M31" i="11"/>
  <c r="M13" i="11"/>
  <c r="M15" i="11"/>
  <c r="M23" i="11"/>
  <c r="M12" i="11"/>
  <c r="N22" i="11"/>
  <c r="M24" i="11" l="1"/>
  <c r="M19" i="11"/>
  <c r="N30" i="11"/>
  <c r="N14" i="11"/>
  <c r="N11" i="11"/>
  <c r="N26" i="11"/>
  <c r="O5" i="11"/>
  <c r="O24" i="11" s="1"/>
  <c r="N31" i="11"/>
  <c r="N23" i="11"/>
  <c r="N13" i="11"/>
  <c r="N16" i="11"/>
  <c r="N20" i="11"/>
  <c r="N19" i="11"/>
  <c r="N15" i="11"/>
  <c r="N18" i="11"/>
  <c r="N7" i="11"/>
  <c r="N25" i="11"/>
  <c r="N12" i="11"/>
  <c r="N10" i="11"/>
  <c r="N27" i="11"/>
  <c r="N9" i="11"/>
  <c r="O25" i="11"/>
  <c r="O30" i="11"/>
  <c r="O12" i="11" l="1"/>
  <c r="O10" i="11"/>
  <c r="O13" i="11"/>
  <c r="O15" i="11"/>
  <c r="O14" i="11"/>
  <c r="O26" i="11"/>
  <c r="O22" i="11"/>
  <c r="O7" i="11"/>
  <c r="O18" i="11"/>
  <c r="O31" i="11"/>
  <c r="O23" i="11"/>
  <c r="O27" i="11"/>
  <c r="O9" i="11"/>
  <c r="P5" i="11"/>
  <c r="P24" i="11" s="1"/>
  <c r="O16" i="11"/>
  <c r="O11" i="11"/>
  <c r="O20" i="11"/>
  <c r="O19" i="11"/>
  <c r="P31" i="11"/>
  <c r="Q5" i="11"/>
  <c r="Q24" i="11" s="1"/>
  <c r="P20" i="11"/>
  <c r="P4" i="11"/>
  <c r="P18" i="11"/>
  <c r="P19" i="11"/>
  <c r="P14" i="11"/>
  <c r="P22" i="11" l="1"/>
  <c r="P12" i="11"/>
  <c r="P11" i="11"/>
  <c r="P30" i="11"/>
  <c r="P16" i="11"/>
  <c r="P10" i="11"/>
  <c r="P9" i="11"/>
  <c r="P27" i="11"/>
  <c r="P13" i="11"/>
  <c r="P15" i="11"/>
  <c r="P7" i="11"/>
  <c r="P23" i="11"/>
  <c r="P25" i="11"/>
  <c r="P26" i="11"/>
  <c r="Q15" i="11"/>
  <c r="Q7" i="11"/>
  <c r="Q26" i="11"/>
  <c r="Q12" i="11"/>
  <c r="Q16" i="11"/>
  <c r="Q23" i="11"/>
  <c r="Q9" i="11"/>
  <c r="Q14" i="11"/>
  <c r="Q18" i="11"/>
  <c r="Q13" i="11"/>
  <c r="Q30" i="11"/>
  <c r="Q19" i="11"/>
  <c r="Q11" i="11"/>
  <c r="Q25" i="11"/>
  <c r="Q20" i="11"/>
  <c r="Q10" i="11"/>
  <c r="R5" i="11"/>
  <c r="R24" i="11" s="1"/>
  <c r="Q22" i="11"/>
  <c r="Q31" i="11"/>
  <c r="Q27" i="11"/>
  <c r="R23" i="11" l="1"/>
  <c r="R12" i="11"/>
  <c r="R10" i="11"/>
  <c r="R11" i="11"/>
  <c r="S5" i="11"/>
  <c r="S24" i="11" s="1"/>
  <c r="R16" i="11"/>
  <c r="R26" i="11"/>
  <c r="R7" i="11"/>
  <c r="R18" i="11"/>
  <c r="R14" i="11"/>
  <c r="R19" i="11"/>
  <c r="R15" i="11"/>
  <c r="R22" i="11"/>
  <c r="R31" i="11"/>
  <c r="R30" i="11"/>
  <c r="R9" i="11"/>
  <c r="R27" i="11"/>
  <c r="R25" i="11"/>
  <c r="R20" i="11"/>
  <c r="R13" i="11"/>
  <c r="S14" i="11" l="1"/>
  <c r="S30" i="11"/>
  <c r="S9" i="11"/>
  <c r="S16" i="11"/>
  <c r="S26" i="11"/>
  <c r="S23" i="11"/>
  <c r="S22" i="11"/>
  <c r="S13" i="11"/>
  <c r="S15" i="11"/>
  <c r="S12" i="11"/>
  <c r="S18" i="11"/>
  <c r="S19" i="11"/>
  <c r="S10" i="11"/>
  <c r="S20" i="11"/>
  <c r="S31" i="11"/>
  <c r="S25" i="11"/>
  <c r="S7" i="11"/>
  <c r="T5" i="11"/>
  <c r="T24" i="11" s="1"/>
  <c r="S11" i="11"/>
  <c r="S27" i="11"/>
  <c r="U5" i="11" l="1"/>
  <c r="U24" i="11" s="1"/>
  <c r="T26" i="11"/>
  <c r="T22" i="11"/>
  <c r="T23" i="11"/>
  <c r="T10" i="11"/>
  <c r="T27" i="11"/>
  <c r="T9" i="11"/>
  <c r="T18" i="11"/>
  <c r="T25" i="11"/>
  <c r="T15" i="11"/>
  <c r="T20" i="11"/>
  <c r="T12" i="11"/>
  <c r="T14" i="11"/>
  <c r="T31" i="11"/>
  <c r="T13" i="11"/>
  <c r="T30" i="11"/>
  <c r="T7" i="11"/>
  <c r="T19" i="11"/>
  <c r="T16" i="11"/>
  <c r="T11" i="11"/>
  <c r="U14" i="11" l="1"/>
  <c r="U13" i="11"/>
  <c r="U15" i="11"/>
  <c r="U20" i="11"/>
  <c r="U26" i="11"/>
  <c r="U18" i="11"/>
  <c r="U16" i="11"/>
  <c r="U19" i="11"/>
  <c r="U12" i="11"/>
  <c r="U11" i="11"/>
  <c r="U25" i="11"/>
  <c r="V5" i="11"/>
  <c r="V24" i="11" s="1"/>
  <c r="U9" i="11"/>
  <c r="U10" i="11"/>
  <c r="U30" i="11"/>
  <c r="U23" i="11"/>
  <c r="U27" i="11"/>
  <c r="U31" i="11"/>
  <c r="U22" i="11"/>
  <c r="U7" i="11"/>
  <c r="V16" i="11" l="1"/>
  <c r="V11" i="11"/>
  <c r="V13" i="11"/>
  <c r="V25" i="11"/>
  <c r="V14" i="11"/>
  <c r="V18" i="11"/>
  <c r="V7" i="11"/>
  <c r="V22" i="11"/>
  <c r="V23" i="11"/>
  <c r="V27" i="11"/>
  <c r="V31" i="11"/>
  <c r="V20" i="11"/>
  <c r="V15" i="11"/>
  <c r="V26" i="11"/>
  <c r="W5" i="11"/>
  <c r="W24" i="11" s="1"/>
  <c r="V30" i="11"/>
  <c r="V10" i="11"/>
  <c r="V9" i="11"/>
  <c r="V19" i="11"/>
  <c r="V12" i="11"/>
  <c r="W10" i="11" l="1"/>
  <c r="W31" i="11"/>
  <c r="W9" i="11"/>
  <c r="W19" i="11"/>
  <c r="W23" i="11"/>
  <c r="W30" i="11"/>
  <c r="W14" i="11"/>
  <c r="W16" i="11"/>
  <c r="W15" i="11"/>
  <c r="W7" i="11"/>
  <c r="X5" i="11"/>
  <c r="X24" i="11" s="1"/>
  <c r="W12" i="11"/>
  <c r="W25" i="11"/>
  <c r="W13" i="11"/>
  <c r="W20" i="11"/>
  <c r="W27" i="11"/>
  <c r="W22" i="11"/>
  <c r="W11" i="11"/>
  <c r="W4" i="11"/>
  <c r="W26" i="11"/>
  <c r="W18" i="11"/>
  <c r="X19" i="11" l="1"/>
  <c r="X11" i="11"/>
  <c r="Y5" i="11"/>
  <c r="Y24" i="11" s="1"/>
  <c r="X18" i="11"/>
  <c r="X31" i="11"/>
  <c r="X14" i="11"/>
  <c r="X20" i="11"/>
  <c r="X15" i="11"/>
  <c r="X23" i="11"/>
  <c r="X12" i="11"/>
  <c r="X10" i="11"/>
  <c r="X13" i="11"/>
  <c r="X27" i="11"/>
  <c r="X9" i="11"/>
  <c r="X22" i="11"/>
  <c r="X30" i="11"/>
  <c r="X26" i="11"/>
  <c r="X25" i="11"/>
  <c r="X16" i="11"/>
  <c r="X7" i="11"/>
  <c r="Y30" i="11" l="1"/>
  <c r="Y7" i="11"/>
  <c r="Y9" i="11"/>
  <c r="Y23" i="11"/>
  <c r="Y18" i="11"/>
  <c r="Z5" i="11"/>
  <c r="Z24" i="11" s="1"/>
  <c r="Y20" i="11"/>
  <c r="Y26" i="11"/>
  <c r="Y12" i="11"/>
  <c r="Y25" i="11"/>
  <c r="Y11" i="11"/>
  <c r="Y19" i="11"/>
  <c r="Y10" i="11"/>
  <c r="Y31" i="11"/>
  <c r="Y13" i="11"/>
  <c r="Y16" i="11"/>
  <c r="Y22" i="11"/>
  <c r="Y14" i="11"/>
  <c r="Y27" i="11"/>
  <c r="Y15" i="11"/>
  <c r="Z19" i="11" l="1"/>
  <c r="Z14" i="11"/>
  <c r="Z25" i="11"/>
  <c r="Z30" i="11"/>
  <c r="Z18" i="11"/>
  <c r="Z11" i="11"/>
  <c r="Z12" i="11"/>
  <c r="Z23" i="11"/>
  <c r="Z15" i="11"/>
  <c r="Z13" i="11"/>
  <c r="Z26" i="11"/>
  <c r="Z22" i="11"/>
  <c r="Z16" i="11"/>
  <c r="Z7" i="11"/>
  <c r="Z27" i="11"/>
  <c r="Z9" i="11"/>
  <c r="Z10" i="11"/>
  <c r="AA5" i="11"/>
  <c r="AA24" i="11" s="1"/>
  <c r="Z20" i="11"/>
  <c r="Z31" i="11"/>
  <c r="AB5" i="11" l="1"/>
  <c r="AB24" i="11" s="1"/>
  <c r="AA16" i="11"/>
  <c r="AA9" i="11"/>
  <c r="AA12" i="11"/>
  <c r="AA27" i="11"/>
  <c r="AA23" i="11"/>
  <c r="AA30" i="11"/>
  <c r="AA19" i="11"/>
  <c r="AA11" i="11"/>
  <c r="AA20" i="11"/>
  <c r="AA7" i="11"/>
  <c r="AA25" i="11"/>
  <c r="AA31" i="11"/>
  <c r="AA15" i="11"/>
  <c r="AA13" i="11"/>
  <c r="AA14" i="11"/>
  <c r="AA22" i="11"/>
  <c r="AA18" i="11"/>
  <c r="AA26" i="11"/>
  <c r="AA10" i="11"/>
  <c r="AB9" i="11" l="1"/>
  <c r="AB25" i="11"/>
  <c r="AB19" i="11"/>
  <c r="AB14" i="11"/>
  <c r="AB27" i="11"/>
  <c r="AB26" i="11"/>
  <c r="AB10" i="11"/>
  <c r="AB31" i="11"/>
  <c r="AB11" i="11"/>
  <c r="AB7" i="11"/>
  <c r="AB16" i="11"/>
  <c r="AB12" i="11"/>
  <c r="AB15" i="11"/>
  <c r="AB13" i="11"/>
  <c r="AB30" i="11"/>
  <c r="AC5" i="11"/>
  <c r="AC24" i="11" s="1"/>
  <c r="AB18" i="11"/>
  <c r="AB22" i="11"/>
  <c r="AB20" i="11"/>
  <c r="AB23" i="11"/>
  <c r="AC16" i="11" l="1"/>
  <c r="AC10" i="11"/>
  <c r="AC20" i="11"/>
  <c r="AC23" i="11"/>
  <c r="AC18" i="11"/>
  <c r="AC27" i="11"/>
  <c r="AC26" i="11"/>
  <c r="AC11" i="11"/>
  <c r="AC15" i="11"/>
  <c r="AC25" i="11"/>
  <c r="AC31" i="11"/>
  <c r="AC13" i="11"/>
  <c r="AC9" i="11"/>
  <c r="AC7" i="11"/>
  <c r="AC12" i="11"/>
  <c r="AC14" i="11"/>
  <c r="AC30" i="11"/>
  <c r="AC19" i="11"/>
  <c r="AC22" i="11"/>
  <c r="AD5" i="11"/>
  <c r="AD24" i="11" s="1"/>
  <c r="AD11" i="11" l="1"/>
  <c r="AD4" i="11"/>
  <c r="AD12" i="11"/>
  <c r="AD15" i="11"/>
  <c r="AD27" i="11"/>
  <c r="AD7" i="11"/>
  <c r="AD14" i="11"/>
  <c r="AD26" i="11"/>
  <c r="AD16" i="11"/>
  <c r="AD31" i="11"/>
  <c r="AE5" i="11"/>
  <c r="AE24" i="11" s="1"/>
  <c r="AD13" i="11"/>
  <c r="AD10" i="11"/>
  <c r="AD9" i="11"/>
  <c r="AD19" i="11"/>
  <c r="AD23" i="11"/>
  <c r="AD22" i="11"/>
  <c r="AD20" i="11"/>
  <c r="AD30" i="11"/>
  <c r="AD25" i="11"/>
  <c r="AD18" i="11"/>
  <c r="AE25" i="11" l="1"/>
  <c r="AE18" i="11"/>
  <c r="AE27" i="11"/>
  <c r="AE23" i="11"/>
  <c r="AE19" i="11"/>
  <c r="AE15" i="11"/>
  <c r="AE31" i="11"/>
  <c r="AE9" i="11"/>
  <c r="AE26" i="11"/>
  <c r="AE14" i="11"/>
  <c r="AE16" i="11"/>
  <c r="AE13" i="11"/>
  <c r="AE11" i="11"/>
  <c r="AF5" i="11"/>
  <c r="AF24" i="11" s="1"/>
  <c r="AE30" i="11"/>
  <c r="AE22" i="11"/>
  <c r="AE12" i="11"/>
  <c r="AE10" i="11"/>
  <c r="AE7" i="11"/>
  <c r="AE20" i="11"/>
  <c r="AF26" i="11" l="1"/>
  <c r="AF22" i="11"/>
  <c r="AF31" i="11"/>
  <c r="AF18" i="11"/>
  <c r="AF9" i="11"/>
  <c r="AF27" i="11"/>
  <c r="AF20" i="11"/>
  <c r="AF23" i="11"/>
  <c r="AF25" i="11"/>
  <c r="AF16" i="11"/>
  <c r="AF10" i="11"/>
  <c r="AF15" i="11"/>
  <c r="AF12" i="11"/>
  <c r="AF11" i="11"/>
  <c r="AF7" i="11"/>
  <c r="AG5" i="11"/>
  <c r="AG24" i="11" s="1"/>
  <c r="AF19" i="11"/>
  <c r="AF13" i="11"/>
  <c r="AF30" i="11"/>
  <c r="AF14" i="11"/>
  <c r="AG27" i="11" l="1"/>
  <c r="AG12" i="11"/>
  <c r="AG31" i="11"/>
  <c r="AG20" i="11"/>
  <c r="AG16" i="11"/>
  <c r="AG22" i="11"/>
  <c r="AG19" i="11"/>
  <c r="AG30" i="11"/>
  <c r="AG15" i="11"/>
  <c r="AG18" i="11"/>
  <c r="AG23" i="11"/>
  <c r="AG9" i="11"/>
  <c r="AG25" i="11"/>
  <c r="AH5" i="11"/>
  <c r="AH24" i="11" s="1"/>
  <c r="AG14" i="11"/>
  <c r="AG10" i="11"/>
  <c r="AG26" i="11"/>
  <c r="AG11" i="11"/>
  <c r="AG7" i="11"/>
  <c r="AG13" i="11"/>
  <c r="AH12" i="11" l="1"/>
  <c r="AH18" i="11"/>
  <c r="AH23" i="11"/>
  <c r="AH19" i="11"/>
  <c r="AH27" i="11"/>
  <c r="AH16" i="11"/>
  <c r="AH13" i="11"/>
  <c r="AH14" i="11"/>
  <c r="AH26" i="11"/>
  <c r="AH7" i="11"/>
  <c r="AH30" i="11"/>
  <c r="AI5" i="11"/>
  <c r="AI24" i="11" s="1"/>
  <c r="AH11" i="11"/>
  <c r="AH22" i="11"/>
  <c r="AH31" i="11"/>
  <c r="AH10" i="11"/>
  <c r="AH20" i="11"/>
  <c r="AH25" i="11"/>
  <c r="AH9" i="11"/>
  <c r="AH15" i="11"/>
  <c r="AI26" i="11" l="1"/>
  <c r="AI12" i="11"/>
  <c r="AI16" i="11"/>
  <c r="AI19" i="11"/>
  <c r="AI13" i="11"/>
  <c r="AI23" i="11"/>
  <c r="AI22" i="11"/>
  <c r="AI27" i="11"/>
  <c r="AI18" i="11"/>
  <c r="AI30" i="11"/>
  <c r="AI7" i="11"/>
  <c r="AJ5" i="11"/>
  <c r="AJ24" i="11" s="1"/>
  <c r="AI25" i="11"/>
  <c r="AI31" i="11"/>
  <c r="AI14" i="11"/>
  <c r="AI9" i="11"/>
  <c r="AI15" i="11"/>
  <c r="AI11" i="11"/>
  <c r="AI10" i="11"/>
  <c r="AI20" i="11"/>
  <c r="AJ12" i="11" l="1"/>
  <c r="AJ10" i="11"/>
  <c r="AJ27" i="11"/>
  <c r="AJ26" i="11"/>
  <c r="AJ18" i="11"/>
  <c r="AK5" i="11"/>
  <c r="AK24" i="11" s="1"/>
  <c r="AJ14" i="11"/>
  <c r="AJ9" i="11"/>
  <c r="AJ15" i="11"/>
  <c r="AJ7" i="11"/>
  <c r="AJ13" i="11"/>
  <c r="AJ31" i="11"/>
  <c r="AJ30" i="11"/>
  <c r="AJ19" i="11"/>
  <c r="AJ22" i="11"/>
  <c r="AJ16" i="11"/>
  <c r="AJ23" i="11"/>
  <c r="AJ11" i="11"/>
  <c r="AJ20" i="11"/>
  <c r="AJ25" i="11"/>
  <c r="AK11" i="11" l="1"/>
  <c r="AL5" i="11"/>
  <c r="AL24" i="11" s="1"/>
  <c r="AK10" i="11"/>
  <c r="AK9" i="11"/>
  <c r="AK31" i="11"/>
  <c r="AK16" i="11"/>
  <c r="AK15" i="11"/>
  <c r="AK30" i="11"/>
  <c r="AK7" i="11"/>
  <c r="AK26" i="11"/>
  <c r="AK20" i="11"/>
  <c r="AK19" i="11"/>
  <c r="AK4" i="11"/>
  <c r="AK27" i="11"/>
  <c r="AK13" i="11"/>
  <c r="AK22" i="11"/>
  <c r="AK12" i="11"/>
  <c r="AK23" i="11"/>
  <c r="AK14" i="11"/>
  <c r="AK18" i="11"/>
  <c r="AK25" i="11"/>
  <c r="AL25" i="11" l="1"/>
  <c r="AL20" i="11"/>
  <c r="AL9" i="11"/>
  <c r="AL15" i="11"/>
  <c r="AL11" i="11"/>
  <c r="AL14" i="11"/>
  <c r="AL10" i="11"/>
  <c r="AL16" i="11"/>
  <c r="AL27" i="11"/>
  <c r="AL18" i="11"/>
  <c r="AL22" i="11"/>
  <c r="AL26" i="11"/>
  <c r="AL13" i="11"/>
  <c r="AL30" i="11"/>
  <c r="AL23" i="11"/>
  <c r="AL19" i="11"/>
  <c r="AL7" i="11"/>
  <c r="AL12" i="11"/>
  <c r="AM5" i="11"/>
  <c r="AM24" i="11" s="1"/>
  <c r="AL31" i="11"/>
  <c r="AM18" i="11" l="1"/>
  <c r="AM15" i="11"/>
  <c r="AM20" i="11"/>
  <c r="AM30" i="11"/>
  <c r="AM22" i="11"/>
  <c r="AM11" i="11"/>
  <c r="AM25" i="11"/>
  <c r="AN5" i="11"/>
  <c r="AN24" i="11" s="1"/>
  <c r="AM27" i="11"/>
  <c r="AM14" i="11"/>
  <c r="AM9" i="11"/>
  <c r="AM26" i="11"/>
  <c r="AM19" i="11"/>
  <c r="AM13" i="11"/>
  <c r="AM23" i="11"/>
  <c r="AM7" i="11"/>
  <c r="AM12" i="11"/>
  <c r="AM31" i="11"/>
  <c r="AM16" i="11"/>
  <c r="AM10" i="11"/>
  <c r="AN31" i="11" l="1"/>
  <c r="AN22" i="11"/>
  <c r="AN10" i="11"/>
  <c r="AO5" i="11"/>
  <c r="AO24" i="11" s="1"/>
  <c r="AN23" i="11"/>
  <c r="AN20" i="11"/>
  <c r="AN9" i="11"/>
  <c r="AN15" i="11"/>
  <c r="AN25" i="11"/>
  <c r="AN7" i="11"/>
  <c r="AN27" i="11"/>
  <c r="AN18" i="11"/>
  <c r="AN14" i="11"/>
  <c r="AN30" i="11"/>
  <c r="AN19" i="11"/>
  <c r="AN11" i="11"/>
  <c r="AN16" i="11"/>
  <c r="AN26" i="11"/>
  <c r="AN12" i="11"/>
  <c r="AN13" i="11"/>
  <c r="AP5" i="11" l="1"/>
  <c r="AP24" i="11" s="1"/>
  <c r="AO18" i="11"/>
  <c r="AO31" i="11"/>
  <c r="AO10" i="11"/>
  <c r="AO22" i="11"/>
  <c r="AO9" i="11"/>
  <c r="AO12" i="11"/>
  <c r="AO15" i="11"/>
  <c r="AO11" i="11"/>
  <c r="AO16" i="11"/>
  <c r="AO30" i="11"/>
  <c r="AO7" i="11"/>
  <c r="AO23" i="11"/>
  <c r="AO20" i="11"/>
  <c r="AO14" i="11"/>
  <c r="AO13" i="11"/>
  <c r="AO27" i="11"/>
  <c r="AO25" i="11"/>
  <c r="AO26" i="11"/>
  <c r="AO19" i="11"/>
  <c r="AP15" i="11" l="1"/>
  <c r="AP7" i="11"/>
  <c r="AP27" i="11"/>
  <c r="AP22" i="11"/>
  <c r="AP30" i="11"/>
  <c r="AP14" i="11"/>
  <c r="AP10" i="11"/>
  <c r="AP25" i="11"/>
  <c r="AP31" i="11"/>
  <c r="AQ5" i="11"/>
  <c r="AQ24" i="11" s="1"/>
  <c r="AP20" i="11"/>
  <c r="AP26" i="11"/>
  <c r="AP13" i="11"/>
  <c r="AP18" i="11"/>
  <c r="AP23" i="11"/>
  <c r="AP12" i="11"/>
  <c r="AP9" i="11"/>
  <c r="AP19" i="11"/>
  <c r="AP16" i="11"/>
  <c r="AP11" i="11"/>
  <c r="AQ18" i="11" l="1"/>
  <c r="AQ30" i="11"/>
  <c r="AQ19" i="11"/>
  <c r="AQ20" i="11"/>
  <c r="AQ15" i="11"/>
  <c r="AQ12" i="11"/>
  <c r="AQ11" i="11"/>
  <c r="AQ23" i="11"/>
  <c r="AQ22" i="11"/>
  <c r="AQ10" i="11"/>
  <c r="AQ13" i="11"/>
  <c r="AR5" i="11"/>
  <c r="AR24" i="11" s="1"/>
  <c r="AQ16" i="11"/>
  <c r="AQ9" i="11"/>
  <c r="AQ27" i="11"/>
  <c r="AQ7" i="11"/>
  <c r="AQ25" i="11"/>
  <c r="AQ31" i="11"/>
  <c r="AQ14" i="11"/>
  <c r="AQ26" i="11"/>
  <c r="AR30" i="11" l="1"/>
  <c r="AR20" i="11"/>
  <c r="AR26" i="11"/>
  <c r="AR10" i="11"/>
  <c r="AR25" i="11"/>
  <c r="AR12" i="11"/>
  <c r="AR18" i="11"/>
  <c r="AR14" i="11"/>
  <c r="AR22" i="11"/>
  <c r="AS5" i="11"/>
  <c r="AS24" i="11" s="1"/>
  <c r="AR9" i="11"/>
  <c r="AR4" i="11"/>
  <c r="AR23" i="11"/>
  <c r="AR13" i="11"/>
  <c r="AR15" i="11"/>
  <c r="AR31" i="11"/>
  <c r="AR19" i="11"/>
  <c r="AR7" i="11"/>
  <c r="AR16" i="11"/>
  <c r="AR11" i="11"/>
  <c r="AR27" i="11"/>
  <c r="AS15" i="11" l="1"/>
  <c r="AS12" i="11"/>
  <c r="AS16" i="11"/>
  <c r="AS31" i="11"/>
  <c r="AS10" i="11"/>
  <c r="AS30" i="11"/>
  <c r="AS7" i="11"/>
  <c r="AS27" i="11"/>
  <c r="AS19" i="11"/>
  <c r="AS20" i="11"/>
  <c r="AS11" i="11"/>
  <c r="AS14" i="11"/>
  <c r="AT5" i="11"/>
  <c r="AT24" i="11" s="1"/>
  <c r="AS9" i="11"/>
  <c r="AS18" i="11"/>
  <c r="AS22" i="11"/>
  <c r="AS13" i="11"/>
  <c r="AS23" i="11"/>
  <c r="AS25" i="11"/>
  <c r="AS26" i="11"/>
  <c r="AT12" i="11" l="1"/>
  <c r="AT10" i="11"/>
  <c r="AT15" i="11"/>
  <c r="AT22" i="11"/>
  <c r="AT19" i="11"/>
  <c r="AT31" i="11"/>
  <c r="AT16" i="11"/>
  <c r="AT23" i="11"/>
  <c r="AT30" i="11"/>
  <c r="AT20" i="11"/>
  <c r="AT27" i="11"/>
  <c r="AT18" i="11"/>
  <c r="AT25" i="11"/>
  <c r="AT13" i="11"/>
  <c r="AT26" i="11"/>
  <c r="AT9" i="11"/>
  <c r="AT11" i="11"/>
  <c r="AU5" i="11"/>
  <c r="AU24" i="11" s="1"/>
  <c r="AT14" i="11"/>
  <c r="AT7" i="11"/>
  <c r="AU11" i="11" l="1"/>
  <c r="AU22" i="11"/>
  <c r="AU27" i="11"/>
  <c r="AU10" i="11"/>
  <c r="AU16" i="11"/>
  <c r="AU19" i="11"/>
  <c r="AU20" i="11"/>
  <c r="AU18" i="11"/>
  <c r="AU7" i="11"/>
  <c r="AU31" i="11"/>
  <c r="AU14" i="11"/>
  <c r="AU9" i="11"/>
  <c r="AU25" i="11"/>
  <c r="AU23" i="11"/>
  <c r="AV5" i="11"/>
  <c r="AV24" i="11" s="1"/>
  <c r="AU13" i="11"/>
  <c r="AU15" i="11"/>
  <c r="AU30" i="11"/>
  <c r="AU26" i="11"/>
  <c r="AU12" i="11"/>
  <c r="AV26" i="11" l="1"/>
  <c r="AV27" i="11"/>
  <c r="AV15" i="11"/>
  <c r="AV18" i="11"/>
  <c r="AV23" i="11"/>
  <c r="AV9" i="11"/>
  <c r="AV31" i="11"/>
  <c r="AV16" i="11"/>
  <c r="AV11" i="11"/>
  <c r="AV30" i="11"/>
  <c r="AV25" i="11"/>
  <c r="AV14" i="11"/>
  <c r="AV12" i="11"/>
  <c r="AW5" i="11"/>
  <c r="AW24" i="11" s="1"/>
  <c r="AV20" i="11"/>
  <c r="AV19" i="11"/>
  <c r="AV13" i="11"/>
  <c r="AV22" i="11"/>
  <c r="AV10" i="11"/>
  <c r="AV7" i="11"/>
  <c r="AW31" i="11" l="1"/>
  <c r="AW10" i="11"/>
  <c r="AW18" i="11"/>
  <c r="AW14" i="11"/>
  <c r="AW19" i="11"/>
  <c r="AW20" i="11"/>
  <c r="AW13" i="11"/>
  <c r="AW25" i="11"/>
  <c r="AW30" i="11"/>
  <c r="AX5" i="11"/>
  <c r="AX24" i="11" s="1"/>
  <c r="AW23" i="11"/>
  <c r="AW26" i="11"/>
  <c r="AW7" i="11"/>
  <c r="AW9" i="11"/>
  <c r="AW12" i="11"/>
  <c r="AW27" i="11"/>
  <c r="AW16" i="11"/>
  <c r="AW15" i="11"/>
  <c r="AW22" i="11"/>
  <c r="AW11" i="11"/>
  <c r="AX7" i="11" l="1"/>
  <c r="AX11" i="11"/>
  <c r="AX16" i="11"/>
  <c r="AX9" i="11"/>
  <c r="AX15" i="11"/>
  <c r="AX30" i="11"/>
  <c r="AX26" i="11"/>
  <c r="AX10" i="11"/>
  <c r="AX19" i="11"/>
  <c r="AX25" i="11"/>
  <c r="AX23" i="11"/>
  <c r="AX13" i="11"/>
  <c r="AX18" i="11"/>
  <c r="AX31" i="11"/>
  <c r="AY5" i="11"/>
  <c r="AY24" i="11" s="1"/>
  <c r="AX27" i="11"/>
  <c r="AX22" i="11"/>
  <c r="AX12" i="11"/>
  <c r="AX14" i="11"/>
  <c r="AX20" i="11"/>
  <c r="AY20" i="11" l="1"/>
  <c r="AZ5" i="11"/>
  <c r="AZ24" i="11" s="1"/>
  <c r="AY9" i="11"/>
  <c r="AY7" i="11"/>
  <c r="AY12" i="11"/>
  <c r="AY15" i="11"/>
  <c r="AY13" i="11"/>
  <c r="AY26" i="11"/>
  <c r="AY25" i="11"/>
  <c r="AY19" i="11"/>
  <c r="AY18" i="11"/>
  <c r="AY31" i="11"/>
  <c r="AY23" i="11"/>
  <c r="AY27" i="11"/>
  <c r="AY4" i="11"/>
  <c r="AY30" i="11"/>
  <c r="AY22" i="11"/>
  <c r="AY11" i="11"/>
  <c r="AY16" i="11"/>
  <c r="AY14" i="11"/>
  <c r="AY10" i="11"/>
  <c r="AZ13" i="11" l="1"/>
  <c r="AZ7" i="11"/>
  <c r="BA5" i="11"/>
  <c r="BA24" i="11" s="1"/>
  <c r="AZ10" i="11"/>
  <c r="AZ20" i="11"/>
  <c r="AZ12" i="11"/>
  <c r="AZ30" i="11"/>
  <c r="AZ27" i="11"/>
  <c r="AZ31" i="11"/>
  <c r="AZ23" i="11"/>
  <c r="AZ14" i="11"/>
  <c r="AZ9" i="11"/>
  <c r="AZ26" i="11"/>
  <c r="AZ25" i="11"/>
  <c r="AZ19" i="11"/>
  <c r="AZ11" i="11"/>
  <c r="AZ15" i="11"/>
  <c r="AZ18" i="11"/>
  <c r="AZ22" i="11"/>
  <c r="AZ16" i="11"/>
  <c r="BA18" i="11" l="1"/>
  <c r="BA16" i="11"/>
  <c r="BA15" i="11"/>
  <c r="BA11" i="11"/>
  <c r="BA26" i="11"/>
  <c r="BA27" i="11"/>
  <c r="BA30" i="11"/>
  <c r="BA14" i="11"/>
  <c r="BA23" i="11"/>
  <c r="BA7" i="11"/>
  <c r="BA20" i="11"/>
  <c r="BA19" i="11"/>
  <c r="BA13" i="11"/>
  <c r="BA31" i="11"/>
  <c r="BA12" i="11"/>
  <c r="BA22" i="11"/>
  <c r="BA9" i="11"/>
  <c r="BA10" i="11"/>
  <c r="BB5" i="11"/>
  <c r="BB24" i="11" s="1"/>
  <c r="BA25" i="11"/>
  <c r="BB9" i="11" l="1"/>
  <c r="BB22" i="11"/>
  <c r="BB13" i="11"/>
  <c r="BB15" i="11"/>
  <c r="BB30" i="11"/>
  <c r="BB7" i="11"/>
  <c r="BB12" i="11"/>
  <c r="BB16" i="11"/>
  <c r="BB10" i="11"/>
  <c r="BB23" i="11"/>
  <c r="BB25" i="11"/>
  <c r="BB27" i="11"/>
  <c r="BB14" i="11"/>
  <c r="BB11" i="11"/>
  <c r="BC5" i="11"/>
  <c r="BC24" i="11" s="1"/>
  <c r="BB26" i="11"/>
  <c r="BB31" i="11"/>
  <c r="BB18" i="11"/>
  <c r="BB20" i="11"/>
  <c r="BB19" i="11"/>
  <c r="BC11" i="11" l="1"/>
  <c r="BC20" i="11"/>
  <c r="BC22" i="11"/>
  <c r="BC25" i="11"/>
  <c r="BC9" i="11"/>
  <c r="BC30" i="11"/>
  <c r="BC19" i="11"/>
  <c r="BC23" i="11"/>
  <c r="BC7" i="11"/>
  <c r="BC18" i="11"/>
  <c r="BC14" i="11"/>
  <c r="BD5" i="11"/>
  <c r="BD24" i="11" s="1"/>
  <c r="BC12" i="11"/>
  <c r="BC16" i="11"/>
  <c r="BC13" i="11"/>
  <c r="BC15" i="11"/>
  <c r="BC31" i="11"/>
  <c r="BC26" i="11"/>
  <c r="BC27" i="11"/>
  <c r="BC10" i="11"/>
  <c r="BD25" i="11" l="1"/>
  <c r="BD20" i="11"/>
  <c r="BD31" i="11"/>
  <c r="BD27" i="11"/>
  <c r="BD19" i="11"/>
  <c r="BD16" i="11"/>
  <c r="BD12" i="11"/>
  <c r="BD13" i="11"/>
  <c r="BD9" i="11"/>
  <c r="BD23" i="11"/>
  <c r="BD14" i="11"/>
  <c r="BE5" i="11"/>
  <c r="BE24" i="11" s="1"/>
  <c r="BD22" i="11"/>
  <c r="BD26" i="11"/>
  <c r="BD10" i="11"/>
  <c r="BD7" i="11"/>
  <c r="BD30" i="11"/>
  <c r="BD15" i="11"/>
  <c r="BD18" i="11"/>
  <c r="BD11" i="11"/>
  <c r="BE14" i="11" l="1"/>
  <c r="BE25" i="11"/>
  <c r="BF5" i="11"/>
  <c r="BF24" i="11" s="1"/>
  <c r="BE20" i="11"/>
  <c r="BE9" i="11"/>
  <c r="BE10" i="11"/>
  <c r="BE7" i="11"/>
  <c r="BE16" i="11"/>
  <c r="BE12" i="11"/>
  <c r="BE27" i="11"/>
  <c r="BE26" i="11"/>
  <c r="BE30" i="11"/>
  <c r="BE15" i="11"/>
  <c r="BE18" i="11"/>
  <c r="BE22" i="11"/>
  <c r="BE23" i="11"/>
  <c r="BE11" i="11"/>
  <c r="BE31" i="11"/>
  <c r="BE13" i="11"/>
  <c r="BE19" i="11"/>
  <c r="BF14" i="11" l="1"/>
  <c r="BF20" i="11"/>
  <c r="BG5" i="11"/>
  <c r="BG24" i="11" s="1"/>
  <c r="BF15" i="11"/>
  <c r="BF9" i="11"/>
  <c r="BF26" i="11"/>
  <c r="BF25" i="11"/>
  <c r="BF11" i="11"/>
  <c r="BF22" i="11"/>
  <c r="BF13" i="11"/>
  <c r="BF10" i="11"/>
  <c r="BF19" i="11"/>
  <c r="BF7" i="11"/>
  <c r="BF27" i="11"/>
  <c r="BF12" i="11"/>
  <c r="BF18" i="11"/>
  <c r="BF30" i="11"/>
  <c r="BF16" i="11"/>
  <c r="BF4" i="11"/>
  <c r="BF31" i="11"/>
  <c r="BF23" i="11"/>
  <c r="BG11" i="11" l="1"/>
  <c r="BG27" i="11"/>
  <c r="BG18" i="11"/>
  <c r="BG30" i="11"/>
  <c r="BG31" i="11"/>
  <c r="BG20" i="11"/>
  <c r="BG13" i="11"/>
  <c r="BG10" i="11"/>
  <c r="BH5" i="11"/>
  <c r="BH24" i="11" s="1"/>
  <c r="BG25" i="11"/>
  <c r="BG26" i="11"/>
  <c r="BG16" i="11"/>
  <c r="BG15" i="11"/>
  <c r="BG9" i="11"/>
  <c r="BG12" i="11"/>
  <c r="BG23" i="11"/>
  <c r="BG22" i="11"/>
  <c r="BG19" i="11"/>
  <c r="BG14" i="11"/>
  <c r="BG7" i="11"/>
  <c r="BH15" i="11" l="1"/>
  <c r="BH14" i="11"/>
  <c r="BH12" i="11"/>
  <c r="BH16" i="11"/>
  <c r="BH11" i="11"/>
  <c r="BH26" i="11"/>
  <c r="BH31" i="11"/>
  <c r="BH25" i="11"/>
  <c r="BH7" i="11"/>
  <c r="BH20" i="11"/>
  <c r="BH30" i="11"/>
  <c r="BH23" i="11"/>
  <c r="BI5" i="11"/>
  <c r="BI24" i="11" s="1"/>
  <c r="BH10" i="11"/>
  <c r="BH27" i="11"/>
  <c r="BH19" i="11"/>
  <c r="BH13" i="11"/>
  <c r="BH18" i="11"/>
  <c r="BH22" i="11"/>
  <c r="BH9" i="11"/>
  <c r="BI27" i="11" l="1"/>
  <c r="BI19" i="11"/>
  <c r="BI25" i="11"/>
  <c r="BI10" i="11"/>
  <c r="BI20" i="11"/>
  <c r="BI7" i="11"/>
  <c r="BI16" i="11"/>
  <c r="BI18" i="11"/>
  <c r="BI31" i="11"/>
  <c r="BI13" i="11"/>
  <c r="BI14" i="11"/>
  <c r="BI26" i="11"/>
  <c r="BI9" i="11"/>
  <c r="BJ5" i="11"/>
  <c r="BJ24" i="11" s="1"/>
  <c r="BI11" i="11"/>
  <c r="BI15" i="11"/>
  <c r="BI30" i="11"/>
  <c r="BI22" i="11"/>
  <c r="BI12" i="11"/>
  <c r="BI23" i="11"/>
  <c r="BJ27" i="11" l="1"/>
  <c r="BJ12" i="11"/>
  <c r="BJ10" i="11"/>
  <c r="BJ18" i="11"/>
  <c r="BJ23" i="11"/>
  <c r="BJ14" i="11"/>
  <c r="BJ25" i="11"/>
  <c r="BJ7" i="11"/>
  <c r="BJ31" i="11"/>
  <c r="BK5" i="11"/>
  <c r="BK24" i="11" s="1"/>
  <c r="BJ9" i="11"/>
  <c r="BJ26" i="11"/>
  <c r="BJ13" i="11"/>
  <c r="BJ19" i="11"/>
  <c r="BJ20" i="11"/>
  <c r="BJ22" i="11"/>
  <c r="BJ11" i="11"/>
  <c r="BJ16" i="11"/>
  <c r="BJ15" i="11"/>
  <c r="BJ30" i="11"/>
  <c r="BK19" i="11" l="1"/>
  <c r="BK12" i="11"/>
  <c r="BK20" i="11"/>
  <c r="BK25" i="11"/>
  <c r="BK10" i="11"/>
  <c r="BK27" i="11"/>
  <c r="BK13" i="11"/>
  <c r="BK16" i="11"/>
  <c r="BK14" i="11"/>
  <c r="BK18" i="11"/>
  <c r="BK26" i="11"/>
  <c r="BK22" i="11"/>
  <c r="BL5" i="11"/>
  <c r="BL24" i="11" s="1"/>
  <c r="BK15" i="11"/>
  <c r="BK23" i="11"/>
  <c r="BK31" i="11"/>
  <c r="BK11" i="11"/>
  <c r="BK9" i="11"/>
  <c r="BK30" i="11"/>
  <c r="BK7" i="11"/>
  <c r="BL27" i="11" l="1"/>
  <c r="BL9" i="11"/>
  <c r="BL16" i="11"/>
  <c r="BL20" i="11"/>
  <c r="BL26" i="11"/>
  <c r="BL23" i="11"/>
  <c r="BL13" i="11"/>
  <c r="BL10" i="11"/>
  <c r="BL7" i="11"/>
  <c r="BL14" i="11"/>
  <c r="BL19" i="11"/>
  <c r="BL22" i="11"/>
  <c r="BL18" i="11"/>
  <c r="BL11" i="11"/>
  <c r="BL25" i="11"/>
  <c r="BL12" i="11"/>
  <c r="BL30" i="11"/>
  <c r="BL15" i="11"/>
  <c r="BL31" i="11"/>
</calcChain>
</file>

<file path=xl/sharedStrings.xml><?xml version="1.0" encoding="utf-8"?>
<sst xmlns="http://schemas.openxmlformats.org/spreadsheetml/2006/main" count="94" uniqueCount="61">
  <si>
    <t>Cree un diagrama de Gantt en esta hoja de cálculo.
Escriba el título de este proyecto en la celda B1. 
El título de la leyenda se encuentra en la celda I1.
Para obtener información sobre cómo usar esta hoja de cálculo, incluidas las instrucciones para lectores de pantalla y el nombre del autor de este libro, vea la hoja de cálculo Información.
Desplácese hacia abajo por la columna A para escuchar más instrucciones.</t>
  </si>
  <si>
    <t>Escriba el nombre de la compañía en la celda B2.
Hay una leyenda en las celdas I2 a AC2.</t>
  </si>
  <si>
    <t>Escriba el nombre del responsable del proyecto en la celda B3. Escriba la fecha de inicio del proyecto en la celda F3, o bien deje que la fórmula de ejemplo encuentre el valor de fecha anterior en la tabla Datos de Gantt.  
Fecha de inicio del proyecto: la etiqueta se encuentra en la celda D3.</t>
  </si>
  <si>
    <t>Hay un incremento de desplazamiento en la celda F4. 
Los meses de las fechas en la fila 5 se muestran a partir de las celdas I4 a BL4.
No modifique estas celdas. Se actualizarán automáticamente basándose en la fecha de inicio del proyecto de la celda F3.</t>
  </si>
  <si>
    <t>Las celdas I5 a BL5 contienen el número de días del mes representado en el bloque de celdas encima de cada celda de fecha y se calculan automáticamente.
No modifique estas celdas.
La fecha actual está rodeada con una línea roja (hex. AD3815) desde la fecha actual en la fila 5 hasta toda la columna de fechas y el fin de la programación del proyecto.</t>
  </si>
  <si>
    <t>La barra de desplazamiento se encuentra en las celdas I6 a BL6. El incremento de páginas mediante los datos se define como 2 páginas cada vez y se puede configurar en las opciones de la barra de control. 
Para saltar hacia adelante o atrás en la escala de tiempo, escriba un valor de 0 o superior en la celda F4.
Un valor de 0 le llevará al principio del gráfico.</t>
  </si>
  <si>
    <t>Esta fila contiene los encabezados de la programación del proyecto posterior debajo de estos. 
Navegue desde la celda B7 a BL7 para escuchar el contenido. La primera letra de cada día de la semana de la fecha encima de ese encabezado empieza en la celda I7 y continúa hasta la celda BL7.
Todo el gráfico de la escala de tiempo del proyecto se genera automáticamente basándose en la categoría, la fecha de inicio y el número de días especificados en la tabla Hitos.</t>
  </si>
  <si>
    <t xml:space="preserve">No elimine esta fila. Esta fila está oculta para conservar una fórmula que se usa para resaltar el día actual dentro de la programación del proyecto. </t>
  </si>
  <si>
    <t>Especifique la información del proyecto desde la celda B9 a la celda G9. 
Los datos de ejemplo se encuentran en las celdas B9 a G33.
Escriba la descripción del hito, seleccione una categoría de la lista desplegable, asigne un usuario al elemento, escriba el progreso, la fecha de inicio y el número de días de la tarea para iniciar la representación en el gráfico.
La siguiente instrucción se encuentra en la celda A34.</t>
  </si>
  <si>
    <t>Esta fila marca la finalización de los datos de hito de Gantt. NO escriba nada en esta fila. 
Para agregar más elementos, inserte filas nuevas encima de esta.</t>
  </si>
  <si>
    <t>TÍTULO DEL PROYECTO</t>
  </si>
  <si>
    <t>Nombre de la compañía</t>
  </si>
  <si>
    <t>Responsable del proyecto</t>
  </si>
  <si>
    <t>Descripción del hito</t>
  </si>
  <si>
    <t>Tarea 1</t>
  </si>
  <si>
    <t>Tarea 3</t>
  </si>
  <si>
    <t>Tarea 4</t>
  </si>
  <si>
    <t>Tarea 5</t>
  </si>
  <si>
    <t>Para agregar más datos, inserte filas nuevas ENCIMA de esta.</t>
  </si>
  <si>
    <t>Categoría</t>
  </si>
  <si>
    <t>Objetivo</t>
  </si>
  <si>
    <t>Riesgo bajo</t>
  </si>
  <si>
    <t>Riesgo medio</t>
  </si>
  <si>
    <t>Riesgo alto</t>
  </si>
  <si>
    <t>Según lo previsto</t>
  </si>
  <si>
    <t>Fecha de inicio del proyecto:</t>
  </si>
  <si>
    <t>Incremento de desplazamiento:</t>
  </si>
  <si>
    <t>Asignado a</t>
  </si>
  <si>
    <t>Progreso</t>
  </si>
  <si>
    <t>Inicio</t>
  </si>
  <si>
    <t>Número de días</t>
  </si>
  <si>
    <t>Leyenda:</t>
  </si>
  <si>
    <t>Sin asignar</t>
  </si>
  <si>
    <t>Información sobre esta plantilla</t>
  </si>
  <si>
    <t xml:space="preserve">Esta plantilla proporciona una forma sencilla de crear un diagrama de Gantt para ayudarle a visualizar su proyecto y realizar un seguimiento de este. Solo tiene que especificar la descripción de las tareas, seleccionar una categoría (Objetivo, Hito, Según lo previsto, Riesgo bajo, Riesgo medio, Riesgo alto), indicar el progreso como porcentaje de finalización de la tarea, especificar una fecha de inicio y escribir el número de días necesarios para completar la tarea. Se rellenará el diagrama de Gantt y se codificará por colores para distinguir fácilmente las categorías. Una barra de desplazamiento le permite desplazarse por la escala de tiempo. Para insertar nuevas tareas, inserte filas nuevas.
</t>
  </si>
  <si>
    <t>Guía para lectores de pantalla</t>
  </si>
  <si>
    <t>Hay 2 hojas de cálculo en este libro. 
Diagrama de Gantt
Información
Las instrucciones de las hojas de cálculo se encuentran en la columna A de cada hoja, a partir de la celda A1. Están escritas con texto oculto. Cada paso le guiará a través de la información de esa fila. Los pasos posteriores continúan en la celda A2, A3, y así sucesivamente, a menos que se indique de forma explícita. Por ejemplo, el texto de una instrucción podría ser “Vaya a la celda A6” para continuar con el siguiente paso. 
Este texto oculto no se imprimirá.
Para quitar las instrucciones de la hoja de cálculo, es suficiente con eliminar la columna A.</t>
  </si>
  <si>
    <t>Esta es la última instrucción de esta hoja de cálculo.</t>
  </si>
  <si>
    <t>Minimarket "Llauce"</t>
  </si>
  <si>
    <t>Roy, Jeffry y Josè</t>
  </si>
  <si>
    <t>Equipo de trabajo</t>
  </si>
  <si>
    <t>“Programa Web para la Administración y Proceso de Compra en el minimarket Llauce”</t>
  </si>
  <si>
    <t xml:space="preserve">Formaciòn de grupos de trabajo y Entrega modelo Lean canvas  </t>
  </si>
  <si>
    <t>Aspectos generales de la empresa, los Wbs, el project Charter Basico.</t>
  </si>
  <si>
    <t>El PMV, RF,RNF, DER,Diagrama de clases y los Mocks up.</t>
  </si>
  <si>
    <t>PMV  E2 - Pedido vendedor</t>
  </si>
  <si>
    <t>S06 - Segundo avance del proyecyto y exposición</t>
  </si>
  <si>
    <t>S04 - Primer Avance del Proyecto  y exposicion</t>
  </si>
  <si>
    <t>PMV E3 - Pedido cliente / carrito</t>
  </si>
  <si>
    <t xml:space="preserve">   PMV  E1 - Inventario/Catalogo</t>
  </si>
  <si>
    <t>tarea 2</t>
  </si>
  <si>
    <r>
      <t xml:space="preserve">   </t>
    </r>
    <r>
      <rPr>
        <sz val="11"/>
        <color theme="1"/>
        <rFont val="Calibri"/>
        <family val="2"/>
        <scheme val="minor"/>
      </rPr>
      <t xml:space="preserve">S09 - Tercer avance del proyecto y esposicion </t>
    </r>
  </si>
  <si>
    <t>PMV E4 - Metodo de pago</t>
  </si>
  <si>
    <t>S11- Cuarto Avance del Proyecto  y exposiciòn</t>
  </si>
  <si>
    <t>PMV E5 - Notificaciones para vendedor y cliente</t>
  </si>
  <si>
    <t>S13 - Quinto Avance del Proyecto y Exposicion</t>
  </si>
  <si>
    <t>S18 - Proyecto Final (100%) y expociciòn</t>
  </si>
  <si>
    <t>Tarea 6</t>
  </si>
  <si>
    <t>Tarea 7</t>
  </si>
  <si>
    <t>Tarea 8</t>
  </si>
  <si>
    <t>Tarea 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</si>
</sst>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 &quot;€&quot;_-;\-* #,##0\ &quot;€&quot;_-;_-* &quot;-&quot;\ &quot;€&quot;_-;_-@_-"/>
    <numFmt numFmtId="165" formatCode="_-* #,##0.00\ &quot;€&quot;_-;\-* #,##0.00\ &quot;€&quot;_-;_-* &quot;-&quot;??\ &quot;€&quot;_-;_-@_-"/>
    <numFmt numFmtId="166" formatCode="_(* #,##0.00_);_(* \(#,##0.00\);_(* &quot;-&quot;??_);_(@_)"/>
    <numFmt numFmtId="167" formatCode="d"/>
    <numFmt numFmtId="168" formatCode="#,##0_ ;\-#,##0\ "/>
  </numFmts>
  <fonts count="34" x14ac:knownFonts="1">
    <font>
      <sz val="11"/>
      <color theme="1"/>
      <name val="Calibri"/>
      <family val="2"/>
      <scheme val="minor"/>
    </font>
    <font>
      <sz val="10"/>
      <name val="Calibri"/>
      <family val="2"/>
      <scheme val="minor"/>
    </font>
    <font>
      <u/>
      <sz val="11"/>
      <color indexed="12"/>
      <name val="Arial"/>
      <family val="2"/>
    </font>
    <font>
      <sz val="11"/>
      <name val="Calibri"/>
      <family val="2"/>
      <scheme val="minor"/>
    </font>
    <font>
      <b/>
      <sz val="11"/>
      <color theme="1"/>
      <name val="Calibri"/>
      <family val="2"/>
      <scheme val="minor"/>
    </font>
    <font>
      <sz val="11"/>
      <color theme="1"/>
      <name val="Calibri"/>
      <family val="2"/>
      <scheme val="minor"/>
    </font>
    <font>
      <sz val="14"/>
      <color theme="1"/>
      <name val="Calibri"/>
      <family val="2"/>
      <scheme val="minor"/>
    </font>
    <font>
      <b/>
      <sz val="22"/>
      <color theme="1" tint="0.34998626667073579"/>
      <name val="Calibri"/>
      <family val="2"/>
      <scheme val="major"/>
    </font>
    <font>
      <b/>
      <sz val="11"/>
      <color theme="1" tint="0.499984740745262"/>
      <name val="Calibri"/>
      <family val="2"/>
      <scheme val="minor"/>
    </font>
    <font>
      <sz val="10"/>
      <color theme="1" tint="0.499984740745262"/>
      <name val="Arial"/>
      <family val="2"/>
    </font>
    <font>
      <sz val="20"/>
      <name val="Calibri"/>
      <family val="2"/>
      <scheme val="major"/>
    </font>
    <font>
      <sz val="11"/>
      <color rgb="FF1D2129"/>
      <name val="Calibri"/>
      <family val="2"/>
      <scheme val="minor"/>
    </font>
    <font>
      <b/>
      <sz val="16"/>
      <color theme="4" tint="-0.249977111117893"/>
      <name val="Calibri"/>
      <family val="2"/>
      <scheme val="major"/>
    </font>
    <font>
      <sz val="11"/>
      <color theme="0"/>
      <name val="Calibri"/>
      <family val="2"/>
      <scheme val="minor"/>
    </font>
    <font>
      <b/>
      <sz val="10"/>
      <color theme="0"/>
      <name val="Calibri"/>
      <family val="2"/>
      <scheme val="minor"/>
    </font>
    <font>
      <sz val="10"/>
      <color theme="0"/>
      <name val="Calibri"/>
      <family val="2"/>
      <scheme val="minor"/>
    </font>
    <font>
      <b/>
      <sz val="14"/>
      <name val="Calibri"/>
      <family val="2"/>
      <scheme val="minor"/>
    </font>
    <font>
      <b/>
      <sz val="14"/>
      <color theme="0"/>
      <name val="Calibri"/>
      <family val="2"/>
      <scheme val="minor"/>
    </font>
    <font>
      <sz val="16"/>
      <color theme="1"/>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4"/>
      <color theme="1"/>
      <name val="Calibri"/>
      <family val="2"/>
      <scheme val="minor"/>
    </font>
    <font>
      <b/>
      <sz val="16"/>
      <color theme="1" tint="0.34998626667073579"/>
      <name val="Calibri"/>
      <family val="2"/>
      <scheme val="major"/>
    </font>
    <font>
      <b/>
      <sz val="12"/>
      <color theme="1"/>
      <name val="Calibri"/>
      <family val="2"/>
      <scheme val="minor"/>
    </font>
    <font>
      <sz val="8"/>
      <name val="Calibri"/>
      <family val="2"/>
      <scheme val="minor"/>
    </font>
  </fonts>
  <fills count="41">
    <fill>
      <patternFill patternType="none"/>
    </fill>
    <fill>
      <patternFill patternType="gray125"/>
    </fill>
    <fill>
      <patternFill patternType="solid">
        <fgColor theme="0" tint="-4.9989318521683403E-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theme="2" tint="-9.9978637043366805E-2"/>
        <bgColor indexed="64"/>
      </patternFill>
    </fill>
    <fill>
      <patternFill patternType="solid">
        <fgColor theme="4"/>
        <bgColor indexed="64"/>
      </patternFill>
    </fill>
    <fill>
      <patternFill patternType="solid">
        <fgColor theme="6"/>
        <bgColor indexed="64"/>
      </patternFill>
    </fill>
    <fill>
      <patternFill patternType="solid">
        <fgColor theme="7" tint="-0.249977111117893"/>
        <bgColor indexed="64"/>
      </patternFill>
    </fill>
    <fill>
      <patternFill patternType="solid">
        <fgColor theme="9" tint="-0.24997711111789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20">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style="thin">
        <color theme="0" tint="-0.34998626667073579"/>
      </right>
      <top/>
      <bottom style="medium">
        <color theme="0" tint="-0.14996795556505021"/>
      </bottom>
      <diagonal/>
    </border>
    <border>
      <left/>
      <right/>
      <top/>
      <bottom style="thin">
        <color theme="0" tint="-0.249977111117893"/>
      </bottom>
      <diagonal/>
    </border>
    <border>
      <left style="thin">
        <color theme="0" tint="-0.249977111117893"/>
      </left>
      <right/>
      <top/>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style="thin">
        <color theme="0" tint="-0.14993743705557422"/>
      </left>
      <right style="thin">
        <color theme="0" tint="-0.14993743705557422"/>
      </right>
      <top style="medium">
        <color theme="0" tint="-0.14996795556505021"/>
      </top>
      <bottom/>
      <diagonal/>
    </border>
    <border>
      <left style="thin">
        <color theme="0" tint="-0.14993743705557422"/>
      </left>
      <right style="thin">
        <color theme="0" tint="-0.14993743705557422"/>
      </right>
      <top/>
      <bottom style="medium">
        <color theme="0" tint="-0.149967955565050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theme="0" tint="-0.14993743705557422"/>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0">
    <xf numFmtId="0" fontId="0" fillId="0" borderId="0"/>
    <xf numFmtId="0" fontId="2" fillId="0" borderId="0" applyNumberFormat="0" applyFill="0" applyBorder="0" applyAlignment="0" applyProtection="0">
      <alignment vertical="top"/>
      <protection locked="0"/>
    </xf>
    <xf numFmtId="9" fontId="5" fillId="0" borderId="0" applyFont="0" applyFill="0" applyBorder="0" applyProtection="0">
      <alignment horizontal="center" vertical="center"/>
    </xf>
    <xf numFmtId="0" fontId="13" fillId="0" borderId="0"/>
    <xf numFmtId="166" fontId="5" fillId="0" borderId="1" applyFont="0" applyFill="0" applyAlignment="0" applyProtection="0"/>
    <xf numFmtId="0" fontId="7" fillId="0" borderId="0" applyNumberFormat="0" applyFill="0" applyBorder="0" applyAlignment="0" applyProtection="0"/>
    <xf numFmtId="0" fontId="6" fillId="0" borderId="0" applyNumberFormat="0" applyFill="0" applyAlignment="0" applyProtection="0"/>
    <xf numFmtId="0" fontId="6" fillId="0" borderId="0" applyNumberFormat="0" applyFill="0" applyProtection="0">
      <alignment vertical="top"/>
    </xf>
    <xf numFmtId="0" fontId="5" fillId="0" borderId="0" applyNumberFormat="0" applyFill="0" applyProtection="0">
      <alignment horizontal="right" vertical="center" indent="1"/>
    </xf>
    <xf numFmtId="14" fontId="5" fillId="0" borderId="0" applyFont="0" applyFill="0" applyBorder="0">
      <alignment horizontal="center" vertical="center"/>
    </xf>
    <xf numFmtId="168" fontId="5" fillId="0" borderId="0" applyFont="0" applyFill="0" applyBorder="0" applyProtection="0">
      <alignment horizontal="center" vertical="center"/>
    </xf>
    <xf numFmtId="165" fontId="5" fillId="0" borderId="0" applyFont="0" applyFill="0" applyBorder="0" applyAlignment="0" applyProtection="0"/>
    <xf numFmtId="164" fontId="5" fillId="0" borderId="0" applyFont="0" applyFill="0" applyBorder="0" applyAlignment="0" applyProtection="0"/>
    <xf numFmtId="0" fontId="19" fillId="0" borderId="0" applyNumberFormat="0" applyFill="0" applyBorder="0" applyAlignment="0" applyProtection="0"/>
    <xf numFmtId="0" fontId="20" fillId="10" borderId="0" applyNumberFormat="0" applyBorder="0" applyAlignment="0" applyProtection="0"/>
    <xf numFmtId="0" fontId="21" fillId="11" borderId="0" applyNumberFormat="0" applyBorder="0" applyAlignment="0" applyProtection="0"/>
    <xf numFmtId="0" fontId="22" fillId="12" borderId="0" applyNumberFormat="0" applyBorder="0" applyAlignment="0" applyProtection="0"/>
    <xf numFmtId="0" fontId="23" fillId="13" borderId="14" applyNumberFormat="0" applyAlignment="0" applyProtection="0"/>
    <xf numFmtId="0" fontId="24" fillId="14" borderId="15" applyNumberFormat="0" applyAlignment="0" applyProtection="0"/>
    <xf numFmtId="0" fontId="25" fillId="14" borderId="14" applyNumberFormat="0" applyAlignment="0" applyProtection="0"/>
    <xf numFmtId="0" fontId="26" fillId="0" borderId="16" applyNumberFormat="0" applyFill="0" applyAlignment="0" applyProtection="0"/>
    <xf numFmtId="0" fontId="27" fillId="15" borderId="17" applyNumberFormat="0" applyAlignment="0" applyProtection="0"/>
    <xf numFmtId="0" fontId="28" fillId="0" borderId="0" applyNumberFormat="0" applyFill="0" applyBorder="0" applyAlignment="0" applyProtection="0"/>
    <xf numFmtId="0" fontId="5" fillId="16" borderId="18" applyNumberFormat="0" applyFont="0" applyAlignment="0" applyProtection="0"/>
    <xf numFmtId="0" fontId="29" fillId="0" borderId="0" applyNumberFormat="0" applyFill="0" applyBorder="0" applyAlignment="0" applyProtection="0"/>
    <xf numFmtId="0" fontId="4" fillId="0" borderId="19" applyNumberFormat="0" applyFill="0" applyAlignment="0" applyProtection="0"/>
    <xf numFmtId="0" fontId="13"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5" fillId="20" borderId="0" applyNumberFormat="0" applyBorder="0" applyAlignment="0" applyProtection="0"/>
    <xf numFmtId="0" fontId="13"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5" fillId="24" borderId="0" applyNumberFormat="0" applyBorder="0" applyAlignment="0" applyProtection="0"/>
    <xf numFmtId="0" fontId="13"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5" fillId="28" borderId="0" applyNumberFormat="0" applyBorder="0" applyAlignment="0" applyProtection="0"/>
    <xf numFmtId="0" fontId="13" fillId="29"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5" fillId="32" borderId="0" applyNumberFormat="0" applyBorder="0" applyAlignment="0" applyProtection="0"/>
    <xf numFmtId="0" fontId="13" fillId="33" borderId="0" applyNumberFormat="0" applyBorder="0" applyAlignment="0" applyProtection="0"/>
    <xf numFmtId="0" fontId="5" fillId="34" borderId="0" applyNumberFormat="0" applyBorder="0" applyAlignment="0" applyProtection="0"/>
    <xf numFmtId="0" fontId="5" fillId="35" borderId="0" applyNumberFormat="0" applyBorder="0" applyAlignment="0" applyProtection="0"/>
    <xf numFmtId="0" fontId="5" fillId="36" borderId="0" applyNumberFormat="0" applyBorder="0" applyAlignment="0" applyProtection="0"/>
    <xf numFmtId="0" fontId="13" fillId="37" borderId="0" applyNumberFormat="0" applyBorder="0" applyAlignment="0" applyProtection="0"/>
    <xf numFmtId="0" fontId="5" fillId="38" borderId="0" applyNumberFormat="0" applyBorder="0" applyAlignment="0" applyProtection="0"/>
    <xf numFmtId="0" fontId="5" fillId="39" borderId="0" applyNumberFormat="0" applyBorder="0" applyAlignment="0" applyProtection="0"/>
    <xf numFmtId="0" fontId="5" fillId="40" borderId="0" applyNumberFormat="0" applyBorder="0" applyAlignment="0" applyProtection="0"/>
  </cellStyleXfs>
  <cellXfs count="65">
    <xf numFmtId="0" fontId="0" fillId="0" borderId="0" xfId="0"/>
    <xf numFmtId="0" fontId="0" fillId="0" borderId="0" xfId="0" applyAlignment="1">
      <alignment vertical="center"/>
    </xf>
    <xf numFmtId="0" fontId="0" fillId="0" borderId="0" xfId="0" applyAlignment="1">
      <alignment horizontal="center"/>
    </xf>
    <xf numFmtId="0" fontId="0" fillId="0" borderId="0" xfId="0" applyAlignment="1">
      <alignment horizontal="right" vertical="center"/>
    </xf>
    <xf numFmtId="0" fontId="8" fillId="0" borderId="0" xfId="0" applyFont="1"/>
    <xf numFmtId="0" fontId="9" fillId="0" borderId="0" xfId="1" applyFont="1" applyAlignment="1" applyProtection="1"/>
    <xf numFmtId="0" fontId="1" fillId="0" borderId="0" xfId="0" applyFont="1"/>
    <xf numFmtId="0" fontId="10" fillId="0" borderId="0" xfId="0" applyFont="1"/>
    <xf numFmtId="0" fontId="1" fillId="0" borderId="0" xfId="0" applyFont="1" applyAlignment="1">
      <alignment vertical="top"/>
    </xf>
    <xf numFmtId="0" fontId="12" fillId="0" borderId="0" xfId="0" applyFont="1" applyAlignment="1">
      <alignment vertical="center"/>
    </xf>
    <xf numFmtId="0" fontId="11" fillId="0" borderId="0" xfId="0" applyFont="1" applyAlignment="1">
      <alignment horizontal="left" vertical="top" wrapText="1" indent="1"/>
    </xf>
    <xf numFmtId="0" fontId="0" fillId="0" borderId="0" xfId="0" applyAlignment="1">
      <alignment vertical="top" wrapText="1"/>
    </xf>
    <xf numFmtId="0" fontId="13" fillId="0" borderId="0" xfId="3"/>
    <xf numFmtId="0" fontId="13" fillId="0" borderId="0" xfId="3" applyAlignment="1">
      <alignment wrapText="1"/>
    </xf>
    <xf numFmtId="0" fontId="13" fillId="0" borderId="0" xfId="0" applyFont="1" applyAlignment="1">
      <alignment horizontal="center"/>
    </xf>
    <xf numFmtId="0" fontId="6" fillId="0" borderId="0" xfId="6"/>
    <xf numFmtId="0" fontId="0" fillId="0" borderId="5" xfId="0" applyBorder="1"/>
    <xf numFmtId="0" fontId="0" fillId="0" borderId="6" xfId="0" applyBorder="1"/>
    <xf numFmtId="0" fontId="0" fillId="2" borderId="0" xfId="0" applyFill="1"/>
    <xf numFmtId="0" fontId="15" fillId="3" borderId="4" xfId="0" applyFont="1" applyFill="1" applyBorder="1" applyAlignment="1">
      <alignment horizontal="center" vertical="center" shrinkToFit="1"/>
    </xf>
    <xf numFmtId="0" fontId="3" fillId="0" borderId="0" xfId="0" applyFont="1" applyAlignment="1">
      <alignment horizontal="center" vertical="center"/>
    </xf>
    <xf numFmtId="0" fontId="14" fillId="4" borderId="0" xfId="0" applyFont="1" applyFill="1" applyAlignment="1">
      <alignment horizontal="center" vertical="center" wrapText="1"/>
    </xf>
    <xf numFmtId="0" fontId="0" fillId="0" borderId="0" xfId="0" applyAlignment="1">
      <alignment horizontal="left" vertical="center" indent="1"/>
    </xf>
    <xf numFmtId="0" fontId="0" fillId="0" borderId="0" xfId="0" applyAlignment="1">
      <alignment horizontal="center" vertical="center" wrapText="1"/>
    </xf>
    <xf numFmtId="9" fontId="0" fillId="0" borderId="0" xfId="2" applyFont="1">
      <alignment horizontal="center" vertical="center"/>
    </xf>
    <xf numFmtId="14" fontId="0" fillId="0" borderId="0" xfId="9" applyFont="1">
      <alignment horizontal="center" vertical="center"/>
    </xf>
    <xf numFmtId="168" fontId="0" fillId="0" borderId="0" xfId="10" applyFont="1">
      <alignment horizontal="center" vertical="center"/>
    </xf>
    <xf numFmtId="0" fontId="0" fillId="0" borderId="0" xfId="0" applyAlignment="1">
      <alignment horizontal="center" vertical="center"/>
    </xf>
    <xf numFmtId="0" fontId="0" fillId="0" borderId="10" xfId="0" applyBorder="1" applyAlignment="1">
      <alignment vertical="center"/>
    </xf>
    <xf numFmtId="0" fontId="0" fillId="2" borderId="11" xfId="0" applyFill="1" applyBorder="1" applyAlignment="1">
      <alignment horizontal="center" vertical="center"/>
    </xf>
    <xf numFmtId="0" fontId="0" fillId="0" borderId="9" xfId="0" applyBorder="1" applyAlignment="1">
      <alignment horizontal="center" vertical="center"/>
    </xf>
    <xf numFmtId="0" fontId="6" fillId="0" borderId="0" xfId="7" applyAlignment="1"/>
    <xf numFmtId="0" fontId="0" fillId="2" borderId="0" xfId="0" applyFill="1" applyAlignment="1">
      <alignment horizontal="center"/>
    </xf>
    <xf numFmtId="0" fontId="18" fillId="0" borderId="0" xfId="0" applyFont="1"/>
    <xf numFmtId="0" fontId="0" fillId="0" borderId="12" xfId="0" applyBorder="1" applyAlignment="1">
      <alignment horizontal="center" vertical="center"/>
    </xf>
    <xf numFmtId="0" fontId="1" fillId="3" borderId="2" xfId="0" applyFont="1" applyFill="1" applyBorder="1" applyAlignment="1">
      <alignment horizontal="center" vertical="center"/>
    </xf>
    <xf numFmtId="0" fontId="1" fillId="3" borderId="0" xfId="0" applyFont="1" applyFill="1" applyAlignment="1">
      <alignment horizontal="center" vertical="center"/>
    </xf>
    <xf numFmtId="0" fontId="1" fillId="3" borderId="3" xfId="0" applyFont="1" applyFill="1" applyBorder="1" applyAlignment="1">
      <alignment horizontal="center" vertical="center"/>
    </xf>
    <xf numFmtId="0" fontId="3" fillId="2" borderId="13" xfId="0" applyFont="1" applyFill="1" applyBorder="1" applyAlignment="1">
      <alignment horizontal="center" vertical="center"/>
    </xf>
    <xf numFmtId="0" fontId="3" fillId="0" borderId="0" xfId="0" applyFont="1" applyAlignment="1">
      <alignment vertical="top"/>
    </xf>
    <xf numFmtId="167" fontId="15" fillId="3" borderId="2" xfId="0" applyNumberFormat="1" applyFont="1" applyFill="1" applyBorder="1" applyAlignment="1">
      <alignment horizontal="center" vertical="center"/>
    </xf>
    <xf numFmtId="167" fontId="15" fillId="3" borderId="0" xfId="0" applyNumberFormat="1" applyFont="1" applyFill="1" applyAlignment="1">
      <alignment horizontal="center" vertical="center"/>
    </xf>
    <xf numFmtId="167" fontId="15" fillId="3" borderId="3" xfId="0" applyNumberFormat="1" applyFont="1" applyFill="1" applyBorder="1" applyAlignment="1">
      <alignment horizontal="center" vertical="center"/>
    </xf>
    <xf numFmtId="0" fontId="0" fillId="0" borderId="0" xfId="0" applyAlignment="1">
      <alignment horizontal="left" vertical="center" wrapText="1" indent="2"/>
    </xf>
    <xf numFmtId="0" fontId="4" fillId="0" borderId="0" xfId="0" applyFont="1" applyAlignment="1">
      <alignment horizontal="left" vertical="center" wrapText="1" indent="1"/>
    </xf>
    <xf numFmtId="0" fontId="4" fillId="0" borderId="0" xfId="0" applyFont="1" applyAlignment="1">
      <alignment horizontal="left" vertical="center"/>
    </xf>
    <xf numFmtId="0" fontId="17" fillId="8" borderId="0" xfId="0" applyFont="1" applyFill="1" applyAlignment="1">
      <alignment horizontal="center" vertical="center"/>
    </xf>
    <xf numFmtId="0" fontId="16" fillId="5" borderId="0" xfId="0" applyFont="1" applyFill="1" applyAlignment="1">
      <alignment horizontal="center" vertical="center"/>
    </xf>
    <xf numFmtId="0" fontId="0" fillId="0" borderId="0" xfId="8" applyFont="1">
      <alignment horizontal="right" vertical="center" indent="1"/>
    </xf>
    <xf numFmtId="0" fontId="5" fillId="0" borderId="0" xfId="8">
      <alignment horizontal="right" vertical="center" indent="1"/>
    </xf>
    <xf numFmtId="0" fontId="0" fillId="0" borderId="0" xfId="0"/>
    <xf numFmtId="14" fontId="5" fillId="0" borderId="7" xfId="9" applyBorder="1">
      <alignment horizontal="center" vertical="center"/>
    </xf>
    <xf numFmtId="14" fontId="5" fillId="0" borderId="8" xfId="9" applyBorder="1">
      <alignment horizontal="center" vertical="center"/>
    </xf>
    <xf numFmtId="0" fontId="17" fillId="6" borderId="0" xfId="0" applyFont="1" applyFill="1" applyAlignment="1">
      <alignment horizontal="center" vertical="center"/>
    </xf>
    <xf numFmtId="0" fontId="16" fillId="7" borderId="0" xfId="0" applyFont="1" applyFill="1" applyAlignment="1">
      <alignment horizontal="center" vertical="center"/>
    </xf>
    <xf numFmtId="0" fontId="17" fillId="9" borderId="0" xfId="0" applyFont="1" applyFill="1" applyAlignment="1">
      <alignment horizontal="center" vertical="center"/>
    </xf>
    <xf numFmtId="0" fontId="30" fillId="0" borderId="0" xfId="6" applyFont="1" applyAlignment="1">
      <alignment horizontal="left"/>
    </xf>
    <xf numFmtId="0" fontId="7" fillId="0" borderId="0" xfId="5" applyAlignment="1">
      <alignment horizontal="left" vertical="center"/>
    </xf>
    <xf numFmtId="0" fontId="6" fillId="0" borderId="0" xfId="7" applyAlignment="1">
      <alignment vertical="center"/>
    </xf>
    <xf numFmtId="0" fontId="1" fillId="0" borderId="0" xfId="0" applyFont="1" applyAlignment="1">
      <alignment vertical="center"/>
    </xf>
    <xf numFmtId="0" fontId="31" fillId="0" borderId="0" xfId="5" applyFont="1" applyAlignment="1">
      <alignment horizontal="center" vertical="center" wrapText="1"/>
    </xf>
    <xf numFmtId="0" fontId="32" fillId="0" borderId="0" xfId="0" applyFont="1" applyAlignment="1">
      <alignment horizontal="left" vertical="center" wrapText="1" indent="1"/>
    </xf>
    <xf numFmtId="0" fontId="0" fillId="0" borderId="0" xfId="0" applyAlignment="1">
      <alignment horizontal="left" vertical="top" wrapText="1" indent="2"/>
    </xf>
    <xf numFmtId="0" fontId="32" fillId="0" borderId="0" xfId="0" applyFont="1" applyAlignment="1">
      <alignment horizontal="left" vertical="center" wrapText="1" indent="2"/>
    </xf>
    <xf numFmtId="0" fontId="32" fillId="0" borderId="0" xfId="0" applyFont="1" applyAlignment="1">
      <alignment horizontal="left" vertical="center" wrapText="1"/>
    </xf>
  </cellXfs>
  <cellStyles count="50">
    <cellStyle name="20% - Énfasis1" xfId="27" builtinId="30" customBuiltin="1"/>
    <cellStyle name="20% - Énfasis2" xfId="31" builtinId="34" customBuiltin="1"/>
    <cellStyle name="20% - Énfasis3" xfId="35" builtinId="38" customBuiltin="1"/>
    <cellStyle name="20% - Énfasis4" xfId="39" builtinId="42" customBuiltin="1"/>
    <cellStyle name="20% - Énfasis5" xfId="43" builtinId="46" customBuiltin="1"/>
    <cellStyle name="20% - Énfasis6" xfId="47" builtinId="50" customBuiltin="1"/>
    <cellStyle name="40% - Énfasis1" xfId="28" builtinId="31" customBuiltin="1"/>
    <cellStyle name="40% - Énfasis2" xfId="32" builtinId="35" customBuiltin="1"/>
    <cellStyle name="40% - Énfasis3" xfId="36" builtinId="39" customBuiltin="1"/>
    <cellStyle name="40% - Énfasis4" xfId="40" builtinId="43" customBuiltin="1"/>
    <cellStyle name="40% - Énfasis5" xfId="44" builtinId="47" customBuiltin="1"/>
    <cellStyle name="40% - Énfasis6" xfId="48" builtinId="51" customBuiltin="1"/>
    <cellStyle name="60% - Énfasis1" xfId="29" builtinId="32" customBuiltin="1"/>
    <cellStyle name="60% - Énfasis2" xfId="33" builtinId="36" customBuiltin="1"/>
    <cellStyle name="60% - Énfasis3" xfId="37" builtinId="40" customBuiltin="1"/>
    <cellStyle name="60% - Énfasis4" xfId="41" builtinId="44" customBuiltin="1"/>
    <cellStyle name="60% - Énfasis5" xfId="45" builtinId="48" customBuiltin="1"/>
    <cellStyle name="60% - Énfasis6" xfId="49" builtinId="52" customBuiltin="1"/>
    <cellStyle name="Bueno" xfId="14" builtinId="26" customBuiltin="1"/>
    <cellStyle name="Cálculo" xfId="19" builtinId="22" customBuiltin="1"/>
    <cellStyle name="Celda de comprobación" xfId="21" builtinId="23" customBuiltin="1"/>
    <cellStyle name="Celda vinculada" xfId="20" builtinId="24" customBuiltin="1"/>
    <cellStyle name="Encabezado 1" xfId="6" builtinId="16" customBuiltin="1"/>
    <cellStyle name="Encabezado 4" xfId="13" builtinId="19" customBuiltin="1"/>
    <cellStyle name="Énfasis1" xfId="26" builtinId="29" customBuiltin="1"/>
    <cellStyle name="Énfasis2" xfId="30" builtinId="33" customBuiltin="1"/>
    <cellStyle name="Énfasis3" xfId="34" builtinId="37" customBuiltin="1"/>
    <cellStyle name="Énfasis4" xfId="38" builtinId="41" customBuiltin="1"/>
    <cellStyle name="Énfasis5" xfId="42" builtinId="45" customBuiltin="1"/>
    <cellStyle name="Énfasis6" xfId="46" builtinId="49" customBuiltin="1"/>
    <cellStyle name="Entrada" xfId="17" builtinId="20" customBuiltin="1"/>
    <cellStyle name="Fecha" xfId="9" xr:uid="{00000000-0005-0000-0000-00001E000000}"/>
    <cellStyle name="Hipervínculo" xfId="1" builtinId="8" customBuiltin="1"/>
    <cellStyle name="Incorrecto" xfId="15" builtinId="27" customBuiltin="1"/>
    <cellStyle name="Millares" xfId="4" builtinId="3" customBuiltin="1"/>
    <cellStyle name="Millares [0]" xfId="10" builtinId="6" customBuiltin="1"/>
    <cellStyle name="Moneda" xfId="11" builtinId="4" customBuiltin="1"/>
    <cellStyle name="Moneda [0]" xfId="12" builtinId="7" customBuiltin="1"/>
    <cellStyle name="Neutral" xfId="16" builtinId="28" customBuiltin="1"/>
    <cellStyle name="Normal" xfId="0" builtinId="0" customBuiltin="1"/>
    <cellStyle name="Notas" xfId="23" builtinId="10" customBuiltin="1"/>
    <cellStyle name="Porcentaje" xfId="2" builtinId="5" customBuiltin="1"/>
    <cellStyle name="Salida" xfId="18" builtinId="21" customBuiltin="1"/>
    <cellStyle name="Texto de advertencia" xfId="22" builtinId="11" customBuiltin="1"/>
    <cellStyle name="Texto explicativo" xfId="24" builtinId="53" customBuiltin="1"/>
    <cellStyle name="Título" xfId="5" builtinId="15" customBuiltin="1"/>
    <cellStyle name="Título 2" xfId="7" builtinId="17" customBuiltin="1"/>
    <cellStyle name="Título 3" xfId="8" builtinId="18" customBuiltin="1"/>
    <cellStyle name="Total" xfId="25" builtinId="25" customBuiltin="1"/>
    <cellStyle name="zHiddenText" xfId="3" xr:uid="{00000000-0005-0000-0000-000031000000}"/>
  </cellStyles>
  <dxfs count="24">
    <dxf>
      <fill>
        <patternFill>
          <bgColor theme="2" tint="-9.9948118533890809E-2"/>
        </patternFill>
      </fill>
      <border>
        <left style="thin">
          <color theme="2" tint="-9.9948118533890809E-2"/>
        </left>
        <right style="thin">
          <color theme="2" tint="-9.9948118533890809E-2"/>
        </right>
        <top style="thin">
          <color theme="0"/>
        </top>
        <bottom style="thin">
          <color theme="0"/>
        </bottom>
        <vertical/>
        <horizontal/>
      </border>
    </dxf>
    <dxf>
      <fill>
        <patternFill>
          <bgColor theme="9" tint="-0.24994659260841701"/>
        </patternFill>
      </fill>
      <border>
        <left style="thin">
          <color theme="9" tint="-0.24994659260841701"/>
        </left>
        <right style="thin">
          <color theme="9" tint="-0.24994659260841701"/>
        </right>
        <top style="thin">
          <color theme="0"/>
        </top>
        <bottom style="thin">
          <color theme="0"/>
        </bottom>
        <vertical/>
        <horizontal/>
      </border>
    </dxf>
    <dxf>
      <fill>
        <patternFill>
          <bgColor theme="4"/>
        </patternFill>
      </fill>
      <border>
        <left style="thin">
          <color theme="4"/>
        </left>
        <right style="thin">
          <color theme="4"/>
        </right>
        <top style="thin">
          <color theme="0"/>
        </top>
        <bottom style="thin">
          <color theme="0"/>
        </bottom>
      </border>
    </dxf>
    <dxf>
      <fill>
        <patternFill>
          <bgColor theme="7" tint="-0.24994659260841701"/>
        </patternFill>
      </fill>
      <border>
        <left style="thin">
          <color theme="7" tint="-0.24994659260841701"/>
        </left>
        <right style="thin">
          <color theme="7" tint="-0.24994659260841701"/>
        </right>
        <top style="thin">
          <color theme="0"/>
        </top>
        <bottom style="thin">
          <color theme="0"/>
        </bottom>
      </border>
    </dxf>
    <dxf>
      <fill>
        <patternFill>
          <bgColor theme="6"/>
        </patternFill>
      </fill>
      <border>
        <left style="thin">
          <color theme="6"/>
        </left>
        <right style="thin">
          <color theme="6"/>
        </right>
        <top style="thin">
          <color theme="0"/>
        </top>
        <bottom style="thin">
          <color theme="0"/>
        </bottom>
      </border>
    </dxf>
    <dxf>
      <fill>
        <patternFill>
          <bgColor theme="6" tint="0.59996337778862885"/>
        </patternFill>
      </fill>
      <border>
        <top style="thin">
          <color theme="0"/>
        </top>
        <bottom style="thin">
          <color theme="0"/>
        </bottom>
        <vertical/>
        <horizontal/>
      </border>
    </dxf>
    <dxf>
      <fill>
        <patternFill>
          <bgColor theme="6" tint="0.39994506668294322"/>
        </patternFill>
      </fill>
      <border>
        <top style="thin">
          <color theme="0"/>
        </top>
        <bottom style="thin">
          <color theme="0"/>
        </bottom>
      </border>
    </dxf>
    <dxf>
      <fill>
        <patternFill>
          <bgColor theme="6" tint="0.79998168889431442"/>
        </patternFill>
      </fill>
      <border>
        <top style="thin">
          <color theme="0"/>
        </top>
        <bottom style="thin">
          <color theme="0"/>
        </bottom>
      </border>
    </dxf>
    <dxf>
      <font>
        <b/>
        <i val="0"/>
        <color theme="0"/>
      </font>
      <border>
        <left style="thin">
          <color rgb="FFC00000"/>
        </left>
        <right style="thin">
          <color rgb="FFC00000"/>
        </right>
        <vertical/>
        <horizontal/>
      </border>
    </dxf>
    <dxf>
      <alignment horizontal="center" vertical="center" textRotation="0" indent="0" justifyLastLine="0" shrinkToFit="0" readingOrder="0"/>
    </dxf>
    <dxf>
      <alignment horizontal="center" vertical="center" textRotation="0" wrapText="0" indent="0" justifyLastLine="0" shrinkToFit="0" readingOrder="0"/>
    </dxf>
    <dxf>
      <alignment horizontal="left" vertical="center" textRotation="0" wrapText="1" relativeIndent="1" justifyLastLine="0" shrinkToFit="0" readingOrder="0"/>
    </dxf>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3" tint="-0.24994659260841701"/>
      </font>
      <border diagonalUp="0" diagonalDown="0">
        <left/>
        <right style="thin">
          <color theme="6" tint="0.39994506668294322"/>
        </right>
        <top/>
        <bottom/>
        <vertical/>
        <horizontal/>
      </border>
    </dxf>
  </dxfs>
  <tableStyles count="2" defaultPivotStyle="PivotStyleLight16">
    <tableStyle name="Estilo de tabla personalizado" pivot="0" count="3" xr9:uid="{00000000-0011-0000-FFFF-FFFF00000000}">
      <tableStyleElement type="wholeTable" dxfId="23"/>
      <tableStyleElement type="headerRow" dxfId="22"/>
      <tableStyleElement type="firstRowStripe" dxfId="21"/>
    </tableStyle>
    <tableStyle name="ListaTareasPendientes" pivot="0" count="9" xr9:uid="{00000000-0011-0000-FFFF-FFFF01000000}">
      <tableStyleElement type="wholeTable" dxfId="20"/>
      <tableStyleElement type="headerRow" dxfId="19"/>
      <tableStyleElement type="totalRow" dxfId="18"/>
      <tableStyleElement type="firstColumn" dxfId="17"/>
      <tableStyleElement type="lastColumn" dxfId="16"/>
      <tableStyleElement type="firstRowStripe" dxfId="15"/>
      <tableStyleElement type="secondRowStripe" dxfId="14"/>
      <tableStyleElement type="firstColumnStripe" dxfId="13"/>
      <tableStyleElement type="secondColumnStripe" dxfId="12"/>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215881"/>
      <color rgb="FF42648A"/>
      <color rgb="FF969696"/>
      <color rgb="FFC0C0C0"/>
      <color rgb="FF427FC2"/>
      <color rgb="FF44678E"/>
      <color rgb="FF4A6F9C"/>
      <color rgb="FF3969AD"/>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Scroll" dx="39" fmlaLink="$F$4" horiz="1" max="365" page="2"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31750</xdr:colOff>
          <xdr:row>5</xdr:row>
          <xdr:rowOff>57150</xdr:rowOff>
        </xdr:from>
        <xdr:to>
          <xdr:col>63</xdr:col>
          <xdr:colOff>361950</xdr:colOff>
          <xdr:row>5</xdr:row>
          <xdr:rowOff>241300</xdr:rowOff>
        </xdr:to>
        <xdr:sp macro="" textlink="">
          <xdr:nvSpPr>
            <xdr:cNvPr id="6149" name="Barra de desplazamiento 5" descr="Barra de desplazamiento para desplazarse por la escala de tiempo del proyecto Ghantt." hidden="1">
              <a:extLst>
                <a:ext uri="{63B3BB69-23CF-44E3-9099-C40C66FF867C}">
                  <a14:compatExt spid="_x0000_s6149"/>
                </a:ext>
                <a:ext uri="{FF2B5EF4-FFF2-40B4-BE49-F238E27FC236}">
                  <a16:creationId xmlns:a16="http://schemas.microsoft.com/office/drawing/2014/main" id="{00000000-0008-0000-0000-000005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Hitos" displayName="Hitos" ref="B7:G31" totalsRowShown="0">
  <autoFilter ref="B7:G31" xr:uid="{00000000-0009-0000-0100-000001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Descripción del hito" dataDxfId="11"/>
    <tableColumn id="2" xr3:uid="{00000000-0010-0000-0000-000002000000}" name="Categoría" dataDxfId="10"/>
    <tableColumn id="3" xr3:uid="{00000000-0010-0000-0000-000003000000}" name="Asignado a" dataDxfId="9"/>
    <tableColumn id="4" xr3:uid="{00000000-0010-0000-0000-000004000000}" name="Progreso"/>
    <tableColumn id="5" xr3:uid="{00000000-0010-0000-0000-000005000000}" name="Inicio" dataCellStyle="Fecha"/>
    <tableColumn id="6" xr3:uid="{00000000-0010-0000-0000-000006000000}" name="Número de días"/>
  </tableColumns>
  <tableStyleInfo name="Estilo de tabla personalizado" showFirstColumn="1" showLastColumn="0" showRowStripes="1" showColumnStripes="0"/>
  <extLst>
    <ext xmlns:x14="http://schemas.microsoft.com/office/spreadsheetml/2009/9/main" uri="{504A1905-F514-4f6f-8877-14C23A59335A}">
      <x14:table altTextSummary="Escriba la información del proyecto en esta tabla. Escriba una descripción hito de una fase, tarea, actividad, etc., en la columna situada debajo de Descripción. Seleccione una categoría en la columna Categoría. Asigne el elemento a alguien de la columna Asignado a. Actualice el progreso y vea la como las barras de datos se actualizan automáticamente en la columna Progreso. Escriba la fecha de inicio en la columna Inicio y el número de días en la columna Número de días. Los datos de Ghantt en las celdas J9 a BM 34 se actualizarán automáticamente. Agregue nuevas filas en la tabla para agregar nuevas tareas."/>
    </ext>
  </extLst>
</table>
</file>

<file path=xl/theme/theme1.xml><?xml version="1.0" encoding="utf-8"?>
<a:theme xmlns:a="http://schemas.openxmlformats.org/drawingml/2006/main" name="Attitude">
  <a:themeElements>
    <a:clrScheme name="Attitude">
      <a:dk1>
        <a:sysClr val="windowText" lastClr="000000"/>
      </a:dk1>
      <a:lt1>
        <a:sysClr val="window" lastClr="FFFFFF"/>
      </a:lt1>
      <a:dk2>
        <a:srgbClr val="44546A"/>
      </a:dk2>
      <a:lt2>
        <a:srgbClr val="E7E6E6"/>
      </a:lt2>
      <a:accent1>
        <a:srgbClr val="1180AE"/>
      </a:accent1>
      <a:accent2>
        <a:srgbClr val="6C5B97"/>
      </a:accent2>
      <a:accent3>
        <a:srgbClr val="FCB239"/>
      </a:accent3>
      <a:accent4>
        <a:srgbClr val="D74061"/>
      </a:accent4>
      <a:accent5>
        <a:srgbClr val="F37A29"/>
      </a:accent5>
      <a:accent6>
        <a:srgbClr val="B66BA3"/>
      </a:accent6>
      <a:hlink>
        <a:srgbClr val="D2B356"/>
      </a:hlink>
      <a:folHlink>
        <a:srgbClr val="C59169"/>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L34"/>
  <sheetViews>
    <sheetView showGridLines="0" tabSelected="1" showRuler="0" topLeftCell="A22" zoomScale="74" zoomScaleNormal="74" zoomScalePageLayoutView="70" workbookViewId="0">
      <selection activeCell="B30" sqref="B30"/>
    </sheetView>
  </sheetViews>
  <sheetFormatPr baseColWidth="10" defaultColWidth="9.1796875" defaultRowHeight="30" customHeight="1" x14ac:dyDescent="0.35"/>
  <cols>
    <col min="1" max="1" width="2.7265625" style="12" customWidth="1"/>
    <col min="2" max="2" width="39.81640625" customWidth="1"/>
    <col min="3" max="3" width="20.81640625" customWidth="1"/>
    <col min="4" max="4" width="20.54296875" customWidth="1"/>
    <col min="5" max="5" width="10.7265625" customWidth="1"/>
    <col min="6" max="6" width="12.26953125" style="2" customWidth="1"/>
    <col min="7" max="7" width="10.453125" customWidth="1"/>
    <col min="8" max="8" width="2.7265625" customWidth="1"/>
    <col min="9" max="64" width="5.54296875" customWidth="1"/>
    <col min="69" max="70" width="10.26953125"/>
  </cols>
  <sheetData>
    <row r="1" spans="1:64" ht="66" customHeight="1" x14ac:dyDescent="0.35">
      <c r="A1" s="13" t="s">
        <v>0</v>
      </c>
      <c r="B1" s="57" t="s">
        <v>10</v>
      </c>
      <c r="C1" s="60" t="s">
        <v>41</v>
      </c>
      <c r="D1" s="60"/>
      <c r="E1" s="60"/>
      <c r="F1" s="60"/>
      <c r="G1" s="60"/>
      <c r="H1" s="1"/>
      <c r="I1" s="58" t="s">
        <v>31</v>
      </c>
      <c r="J1" s="59"/>
      <c r="K1" s="1"/>
    </row>
    <row r="2" spans="1:64" ht="30" customHeight="1" x14ac:dyDescent="0.45">
      <c r="A2" s="13" t="s">
        <v>1</v>
      </c>
      <c r="B2" s="15" t="s">
        <v>11</v>
      </c>
      <c r="C2" s="56" t="s">
        <v>38</v>
      </c>
      <c r="D2" s="56"/>
      <c r="E2" s="56"/>
      <c r="F2" s="56"/>
      <c r="G2" s="16"/>
      <c r="I2" s="53" t="s">
        <v>24</v>
      </c>
      <c r="J2" s="53"/>
      <c r="K2" s="53"/>
      <c r="L2" s="53"/>
      <c r="N2" s="54" t="s">
        <v>21</v>
      </c>
      <c r="O2" s="54"/>
      <c r="P2" s="54"/>
      <c r="Q2" s="54"/>
      <c r="S2" s="55" t="s">
        <v>22</v>
      </c>
      <c r="T2" s="55"/>
      <c r="U2" s="55"/>
      <c r="V2" s="55"/>
      <c r="X2" s="46" t="s">
        <v>23</v>
      </c>
      <c r="Y2" s="46"/>
      <c r="Z2" s="46"/>
      <c r="AA2" s="46"/>
      <c r="AC2" s="47" t="s">
        <v>32</v>
      </c>
      <c r="AD2" s="47"/>
      <c r="AE2" s="47"/>
      <c r="AF2" s="47"/>
    </row>
    <row r="3" spans="1:64" ht="30" customHeight="1" x14ac:dyDescent="0.45">
      <c r="A3" s="13" t="s">
        <v>2</v>
      </c>
      <c r="B3" s="31" t="s">
        <v>12</v>
      </c>
      <c r="C3" s="31" t="s">
        <v>39</v>
      </c>
      <c r="D3" s="48" t="s">
        <v>25</v>
      </c>
      <c r="E3" s="49"/>
      <c r="F3" s="51">
        <f ca="1">IFERROR(IF(MIN(Hitos[Inicio])=0,TODAY(),MIN(Hitos[Inicio])),TODAY())</f>
        <v>45012</v>
      </c>
      <c r="G3" s="52"/>
      <c r="H3" s="17"/>
    </row>
    <row r="4" spans="1:64" ht="30" customHeight="1" x14ac:dyDescent="0.5">
      <c r="A4" s="13" t="s">
        <v>3</v>
      </c>
      <c r="B4" s="45"/>
      <c r="D4" s="48" t="s">
        <v>26</v>
      </c>
      <c r="E4" s="49"/>
      <c r="F4" s="34">
        <v>0</v>
      </c>
      <c r="I4" s="33" t="str">
        <f ca="1">TEXT(I5,"mmmm")</f>
        <v>Marzo</v>
      </c>
      <c r="J4" s="33"/>
      <c r="K4" s="33"/>
      <c r="L4" s="33"/>
      <c r="M4" s="33"/>
      <c r="N4" s="33"/>
      <c r="O4" s="33"/>
      <c r="P4" s="33" t="str">
        <f ca="1">IF(TEXT(P5,"mmmm")=I4,"",TEXT(P5,"mmmm"))</f>
        <v>Abril</v>
      </c>
      <c r="Q4" s="33"/>
      <c r="R4" s="33"/>
      <c r="S4" s="33"/>
      <c r="T4" s="33"/>
      <c r="U4" s="33"/>
      <c r="V4" s="33"/>
      <c r="W4" s="33" t="str">
        <f ca="1">IF(OR(TEXT(W5,"mmmm")=P4,TEXT(W5,"mmmm")=I4),"",TEXT(W5,"mmmm"))</f>
        <v/>
      </c>
      <c r="X4" s="33"/>
      <c r="Y4" s="33"/>
      <c r="Z4" s="33"/>
      <c r="AA4" s="33"/>
      <c r="AB4" s="33"/>
      <c r="AC4" s="33"/>
      <c r="AD4" s="33" t="str">
        <f ca="1">IF(OR(TEXT(AD5,"mmmm")=W4,TEXT(AD5,"mmmm")=P4,TEXT(AD5,"mmmm")=I4),"",TEXT(AD5,"mmmm"))</f>
        <v/>
      </c>
      <c r="AE4" s="33"/>
      <c r="AF4" s="33"/>
      <c r="AG4" s="33"/>
      <c r="AH4" s="33"/>
      <c r="AI4" s="33"/>
      <c r="AJ4" s="33"/>
      <c r="AK4" s="33" t="str">
        <f ca="1">IF(OR(TEXT(AK5,"mmmm")=AD4,TEXT(AK5,"mmmm")=W4,TEXT(AK5,"mmmm")=P4,TEXT(AK5,"mmmm")=I4),"",TEXT(AK5,"mmmm"))</f>
        <v/>
      </c>
      <c r="AL4" s="33"/>
      <c r="AM4" s="33"/>
      <c r="AN4" s="33"/>
      <c r="AO4" s="33"/>
      <c r="AP4" s="33"/>
      <c r="AQ4" s="33"/>
      <c r="AR4" s="33" t="str">
        <f ca="1">IF(OR(TEXT(AR5,"mmmm")=AK4,TEXT(AR5,"mmmm")=AD4,TEXT(AR5,"mmmm")=W4,TEXT(AR5,"mmmm")=P4),"",TEXT(AR5,"mmmm"))</f>
        <v>Mayo</v>
      </c>
      <c r="AS4" s="33"/>
      <c r="AT4" s="33"/>
      <c r="AU4" s="33"/>
      <c r="AV4" s="33"/>
      <c r="AW4" s="33"/>
      <c r="AX4" s="33"/>
      <c r="AY4" s="33" t="str">
        <f ca="1">IF(OR(TEXT(AY5,"mmmm")=AR4,TEXT(AY5,"mmmm")=AK4,TEXT(AY5,"mmmm")=AD4,TEXT(AY5,"mmmm")=W4),"",TEXT(AY5,"mmmm"))</f>
        <v/>
      </c>
      <c r="AZ4" s="33"/>
      <c r="BA4" s="33"/>
      <c r="BB4" s="33"/>
      <c r="BC4" s="33"/>
      <c r="BD4" s="33"/>
      <c r="BE4" s="33"/>
      <c r="BF4" s="33" t="str">
        <f ca="1">IF(OR(TEXT(BF5,"mmmm")=AY4,TEXT(BF5,"mmmm")=AR4,TEXT(BF5,"mmmm")=AK4,TEXT(BF5,"mmmm")=AD4),"",TEXT(BF5,"mmmm"))</f>
        <v/>
      </c>
      <c r="BG4" s="33"/>
      <c r="BH4" s="33"/>
      <c r="BI4" s="33"/>
      <c r="BJ4" s="33"/>
      <c r="BK4" s="33"/>
      <c r="BL4" s="33"/>
    </row>
    <row r="5" spans="1:64" ht="15" customHeight="1" x14ac:dyDescent="0.35">
      <c r="A5" s="13" t="s">
        <v>4</v>
      </c>
      <c r="B5" s="50"/>
      <c r="C5" s="50"/>
      <c r="D5" s="50"/>
      <c r="E5" s="50"/>
      <c r="F5" s="50"/>
      <c r="G5" s="50"/>
      <c r="H5" s="50"/>
      <c r="I5" s="40">
        <f ca="1">IFERROR(Inicio_del_proyecto+Incremento_de_desplazamiento,TODAY())</f>
        <v>45012</v>
      </c>
      <c r="J5" s="41">
        <f ca="1">I5+1</f>
        <v>45013</v>
      </c>
      <c r="K5" s="41">
        <f t="shared" ref="K5:AX5" ca="1" si="0">J5+1</f>
        <v>45014</v>
      </c>
      <c r="L5" s="41">
        <f t="shared" ca="1" si="0"/>
        <v>45015</v>
      </c>
      <c r="M5" s="41">
        <f t="shared" ca="1" si="0"/>
        <v>45016</v>
      </c>
      <c r="N5" s="41">
        <f t="shared" ca="1" si="0"/>
        <v>45017</v>
      </c>
      <c r="O5" s="42">
        <f t="shared" ca="1" si="0"/>
        <v>45018</v>
      </c>
      <c r="P5" s="40">
        <f ca="1">O5+1</f>
        <v>45019</v>
      </c>
      <c r="Q5" s="41">
        <f ca="1">P5+1</f>
        <v>45020</v>
      </c>
      <c r="R5" s="41">
        <f t="shared" ca="1" si="0"/>
        <v>45021</v>
      </c>
      <c r="S5" s="41">
        <f t="shared" ca="1" si="0"/>
        <v>45022</v>
      </c>
      <c r="T5" s="41">
        <f t="shared" ca="1" si="0"/>
        <v>45023</v>
      </c>
      <c r="U5" s="41">
        <f t="shared" ca="1" si="0"/>
        <v>45024</v>
      </c>
      <c r="V5" s="42">
        <f t="shared" ca="1" si="0"/>
        <v>45025</v>
      </c>
      <c r="W5" s="40">
        <f ca="1">V5+1</f>
        <v>45026</v>
      </c>
      <c r="X5" s="41">
        <f ca="1">W5+1</f>
        <v>45027</v>
      </c>
      <c r="Y5" s="41">
        <f t="shared" ca="1" si="0"/>
        <v>45028</v>
      </c>
      <c r="Z5" s="41">
        <f t="shared" ca="1" si="0"/>
        <v>45029</v>
      </c>
      <c r="AA5" s="41">
        <f t="shared" ca="1" si="0"/>
        <v>45030</v>
      </c>
      <c r="AB5" s="41">
        <f t="shared" ca="1" si="0"/>
        <v>45031</v>
      </c>
      <c r="AC5" s="42">
        <f t="shared" ca="1" si="0"/>
        <v>45032</v>
      </c>
      <c r="AD5" s="40">
        <f ca="1">AC5+1</f>
        <v>45033</v>
      </c>
      <c r="AE5" s="41">
        <f ca="1">AD5+1</f>
        <v>45034</v>
      </c>
      <c r="AF5" s="41">
        <f t="shared" ca="1" si="0"/>
        <v>45035</v>
      </c>
      <c r="AG5" s="41">
        <f t="shared" ca="1" si="0"/>
        <v>45036</v>
      </c>
      <c r="AH5" s="41">
        <f t="shared" ca="1" si="0"/>
        <v>45037</v>
      </c>
      <c r="AI5" s="41">
        <f t="shared" ca="1" si="0"/>
        <v>45038</v>
      </c>
      <c r="AJ5" s="42">
        <f t="shared" ca="1" si="0"/>
        <v>45039</v>
      </c>
      <c r="AK5" s="40">
        <f ca="1">AJ5+1</f>
        <v>45040</v>
      </c>
      <c r="AL5" s="41">
        <f ca="1">AK5+1</f>
        <v>45041</v>
      </c>
      <c r="AM5" s="41">
        <f t="shared" ca="1" si="0"/>
        <v>45042</v>
      </c>
      <c r="AN5" s="41">
        <f t="shared" ca="1" si="0"/>
        <v>45043</v>
      </c>
      <c r="AO5" s="41">
        <f t="shared" ca="1" si="0"/>
        <v>45044</v>
      </c>
      <c r="AP5" s="41">
        <f t="shared" ca="1" si="0"/>
        <v>45045</v>
      </c>
      <c r="AQ5" s="42">
        <f t="shared" ca="1" si="0"/>
        <v>45046</v>
      </c>
      <c r="AR5" s="40">
        <f ca="1">AQ5+1</f>
        <v>45047</v>
      </c>
      <c r="AS5" s="41">
        <f ca="1">AR5+1</f>
        <v>45048</v>
      </c>
      <c r="AT5" s="41">
        <f t="shared" ca="1" si="0"/>
        <v>45049</v>
      </c>
      <c r="AU5" s="41">
        <f t="shared" ca="1" si="0"/>
        <v>45050</v>
      </c>
      <c r="AV5" s="41">
        <f t="shared" ca="1" si="0"/>
        <v>45051</v>
      </c>
      <c r="AW5" s="41">
        <f t="shared" ca="1" si="0"/>
        <v>45052</v>
      </c>
      <c r="AX5" s="42">
        <f t="shared" ca="1" si="0"/>
        <v>45053</v>
      </c>
      <c r="AY5" s="40">
        <f ca="1">AX5+1</f>
        <v>45054</v>
      </c>
      <c r="AZ5" s="41">
        <f ca="1">AY5+1</f>
        <v>45055</v>
      </c>
      <c r="BA5" s="41">
        <f t="shared" ref="BA5:BE5" ca="1" si="1">AZ5+1</f>
        <v>45056</v>
      </c>
      <c r="BB5" s="41">
        <f t="shared" ca="1" si="1"/>
        <v>45057</v>
      </c>
      <c r="BC5" s="41">
        <f t="shared" ca="1" si="1"/>
        <v>45058</v>
      </c>
      <c r="BD5" s="41">
        <f t="shared" ca="1" si="1"/>
        <v>45059</v>
      </c>
      <c r="BE5" s="42">
        <f t="shared" ca="1" si="1"/>
        <v>45060</v>
      </c>
      <c r="BF5" s="40">
        <f ca="1">BE5+1</f>
        <v>45061</v>
      </c>
      <c r="BG5" s="41">
        <f ca="1">BF5+1</f>
        <v>45062</v>
      </c>
      <c r="BH5" s="41">
        <f t="shared" ref="BH5:BL5" ca="1" si="2">BG5+1</f>
        <v>45063</v>
      </c>
      <c r="BI5" s="41">
        <f t="shared" ca="1" si="2"/>
        <v>45064</v>
      </c>
      <c r="BJ5" s="41">
        <f t="shared" ca="1" si="2"/>
        <v>45065</v>
      </c>
      <c r="BK5" s="41">
        <f t="shared" ca="1" si="2"/>
        <v>45066</v>
      </c>
      <c r="BL5" s="42">
        <f t="shared" ca="1" si="2"/>
        <v>45067</v>
      </c>
    </row>
    <row r="6" spans="1:64" ht="25.15" customHeight="1" x14ac:dyDescent="0.35">
      <c r="A6" s="13" t="s">
        <v>5</v>
      </c>
      <c r="F6"/>
      <c r="I6" s="35"/>
      <c r="J6" s="36"/>
      <c r="K6" s="36"/>
      <c r="L6" s="36"/>
      <c r="M6" s="36"/>
      <c r="N6" s="36"/>
      <c r="O6" s="37"/>
      <c r="P6" s="35"/>
      <c r="Q6" s="36"/>
      <c r="R6" s="36"/>
      <c r="S6" s="36"/>
      <c r="T6" s="36"/>
      <c r="U6" s="36"/>
      <c r="V6" s="37"/>
      <c r="W6" s="35"/>
      <c r="X6" s="36"/>
      <c r="Y6" s="36"/>
      <c r="Z6" s="36"/>
      <c r="AA6" s="36"/>
      <c r="AB6" s="36"/>
      <c r="AC6" s="37"/>
      <c r="AD6" s="35"/>
      <c r="AE6" s="36"/>
      <c r="AF6" s="36"/>
      <c r="AG6" s="36"/>
      <c r="AH6" s="36"/>
      <c r="AI6" s="36"/>
      <c r="AJ6" s="37"/>
      <c r="AK6" s="35"/>
      <c r="AL6" s="36"/>
      <c r="AM6" s="36"/>
      <c r="AN6" s="36"/>
      <c r="AO6" s="36"/>
      <c r="AP6" s="36"/>
      <c r="AQ6" s="37"/>
      <c r="AR6" s="35"/>
      <c r="AS6" s="36"/>
      <c r="AT6" s="36"/>
      <c r="AU6" s="36"/>
      <c r="AV6" s="36"/>
      <c r="AW6" s="36"/>
      <c r="AX6" s="37"/>
      <c r="AY6" s="35"/>
      <c r="AZ6" s="36"/>
      <c r="BA6" s="36"/>
      <c r="BB6" s="36"/>
      <c r="BC6" s="36"/>
      <c r="BD6" s="36"/>
      <c r="BE6" s="37"/>
      <c r="BF6" s="35"/>
      <c r="BG6" s="36"/>
      <c r="BH6" s="36"/>
      <c r="BI6" s="36"/>
      <c r="BJ6" s="36"/>
      <c r="BK6" s="36"/>
      <c r="BL6" s="37"/>
    </row>
    <row r="7" spans="1:64" ht="31" customHeight="1" thickBot="1" x14ac:dyDescent="0.4">
      <c r="A7" s="13" t="s">
        <v>6</v>
      </c>
      <c r="B7" s="22" t="s">
        <v>13</v>
      </c>
      <c r="C7" s="23" t="s">
        <v>19</v>
      </c>
      <c r="D7" s="23" t="s">
        <v>27</v>
      </c>
      <c r="E7" s="23" t="s">
        <v>28</v>
      </c>
      <c r="F7" s="23" t="s">
        <v>29</v>
      </c>
      <c r="G7" s="23" t="s">
        <v>30</v>
      </c>
      <c r="H7" s="21"/>
      <c r="I7" s="19" t="str">
        <f t="shared" ref="I7" ca="1" si="3">LEFT(TEXT(I5,"ddd"),1)</f>
        <v>l</v>
      </c>
      <c r="J7" s="19" t="str">
        <f t="shared" ref="J7:AR7" ca="1" si="4">LEFT(TEXT(J5,"ddd"),1)</f>
        <v>m</v>
      </c>
      <c r="K7" s="19" t="str">
        <f t="shared" ca="1" si="4"/>
        <v>m</v>
      </c>
      <c r="L7" s="19" t="str">
        <f t="shared" ca="1" si="4"/>
        <v>j</v>
      </c>
      <c r="M7" s="19" t="str">
        <f t="shared" ca="1" si="4"/>
        <v>v</v>
      </c>
      <c r="N7" s="19" t="str">
        <f t="shared" ca="1" si="4"/>
        <v>s</v>
      </c>
      <c r="O7" s="19" t="str">
        <f t="shared" ca="1" si="4"/>
        <v>d</v>
      </c>
      <c r="P7" s="19" t="str">
        <f t="shared" ca="1" si="4"/>
        <v>l</v>
      </c>
      <c r="Q7" s="19" t="str">
        <f t="shared" ca="1" si="4"/>
        <v>m</v>
      </c>
      <c r="R7" s="19" t="str">
        <f t="shared" ca="1" si="4"/>
        <v>m</v>
      </c>
      <c r="S7" s="19" t="str">
        <f t="shared" ca="1" si="4"/>
        <v>j</v>
      </c>
      <c r="T7" s="19" t="str">
        <f t="shared" ca="1" si="4"/>
        <v>v</v>
      </c>
      <c r="U7" s="19" t="str">
        <f t="shared" ca="1" si="4"/>
        <v>s</v>
      </c>
      <c r="V7" s="19" t="str">
        <f t="shared" ca="1" si="4"/>
        <v>d</v>
      </c>
      <c r="W7" s="19" t="str">
        <f t="shared" ca="1" si="4"/>
        <v>l</v>
      </c>
      <c r="X7" s="19" t="str">
        <f t="shared" ca="1" si="4"/>
        <v>m</v>
      </c>
      <c r="Y7" s="19" t="str">
        <f t="shared" ca="1" si="4"/>
        <v>m</v>
      </c>
      <c r="Z7" s="19" t="str">
        <f t="shared" ca="1" si="4"/>
        <v>j</v>
      </c>
      <c r="AA7" s="19" t="str">
        <f t="shared" ca="1" si="4"/>
        <v>v</v>
      </c>
      <c r="AB7" s="19" t="str">
        <f t="shared" ca="1" si="4"/>
        <v>s</v>
      </c>
      <c r="AC7" s="19" t="str">
        <f t="shared" ca="1" si="4"/>
        <v>d</v>
      </c>
      <c r="AD7" s="19" t="str">
        <f t="shared" ca="1" si="4"/>
        <v>l</v>
      </c>
      <c r="AE7" s="19" t="str">
        <f t="shared" ca="1" si="4"/>
        <v>m</v>
      </c>
      <c r="AF7" s="19" t="str">
        <f t="shared" ca="1" si="4"/>
        <v>m</v>
      </c>
      <c r="AG7" s="19" t="str">
        <f t="shared" ca="1" si="4"/>
        <v>j</v>
      </c>
      <c r="AH7" s="19" t="str">
        <f t="shared" ca="1" si="4"/>
        <v>v</v>
      </c>
      <c r="AI7" s="19" t="str">
        <f t="shared" ca="1" si="4"/>
        <v>s</v>
      </c>
      <c r="AJ7" s="19" t="str">
        <f t="shared" ca="1" si="4"/>
        <v>d</v>
      </c>
      <c r="AK7" s="19" t="str">
        <f t="shared" ca="1" si="4"/>
        <v>l</v>
      </c>
      <c r="AL7" s="19" t="str">
        <f t="shared" ca="1" si="4"/>
        <v>m</v>
      </c>
      <c r="AM7" s="19" t="str">
        <f t="shared" ca="1" si="4"/>
        <v>m</v>
      </c>
      <c r="AN7" s="19" t="str">
        <f t="shared" ca="1" si="4"/>
        <v>j</v>
      </c>
      <c r="AO7" s="19" t="str">
        <f t="shared" ca="1" si="4"/>
        <v>v</v>
      </c>
      <c r="AP7" s="19" t="str">
        <f t="shared" ca="1" si="4"/>
        <v>s</v>
      </c>
      <c r="AQ7" s="19" t="str">
        <f t="shared" ca="1" si="4"/>
        <v>d</v>
      </c>
      <c r="AR7" s="19" t="str">
        <f t="shared" ca="1" si="4"/>
        <v>l</v>
      </c>
      <c r="AS7" s="19" t="str">
        <f t="shared" ref="AS7:BL7" ca="1" si="5">LEFT(TEXT(AS5,"ddd"),1)</f>
        <v>m</v>
      </c>
      <c r="AT7" s="19" t="str">
        <f t="shared" ca="1" si="5"/>
        <v>m</v>
      </c>
      <c r="AU7" s="19" t="str">
        <f t="shared" ca="1" si="5"/>
        <v>j</v>
      </c>
      <c r="AV7" s="19" t="str">
        <f t="shared" ca="1" si="5"/>
        <v>v</v>
      </c>
      <c r="AW7" s="19" t="str">
        <f t="shared" ca="1" si="5"/>
        <v>s</v>
      </c>
      <c r="AX7" s="19" t="str">
        <f t="shared" ca="1" si="5"/>
        <v>d</v>
      </c>
      <c r="AY7" s="19" t="str">
        <f t="shared" ca="1" si="5"/>
        <v>l</v>
      </c>
      <c r="AZ7" s="19" t="str">
        <f t="shared" ca="1" si="5"/>
        <v>m</v>
      </c>
      <c r="BA7" s="19" t="str">
        <f t="shared" ca="1" si="5"/>
        <v>m</v>
      </c>
      <c r="BB7" s="19" t="str">
        <f t="shared" ca="1" si="5"/>
        <v>j</v>
      </c>
      <c r="BC7" s="19" t="str">
        <f t="shared" ca="1" si="5"/>
        <v>v</v>
      </c>
      <c r="BD7" s="19" t="str">
        <f t="shared" ca="1" si="5"/>
        <v>s</v>
      </c>
      <c r="BE7" s="19" t="str">
        <f t="shared" ca="1" si="5"/>
        <v>d</v>
      </c>
      <c r="BF7" s="19" t="str">
        <f t="shared" ca="1" si="5"/>
        <v>l</v>
      </c>
      <c r="BG7" s="19" t="str">
        <f t="shared" ca="1" si="5"/>
        <v>m</v>
      </c>
      <c r="BH7" s="19" t="str">
        <f t="shared" ca="1" si="5"/>
        <v>m</v>
      </c>
      <c r="BI7" s="19" t="str">
        <f t="shared" ca="1" si="5"/>
        <v>j</v>
      </c>
      <c r="BJ7" s="19" t="str">
        <f t="shared" ca="1" si="5"/>
        <v>v</v>
      </c>
      <c r="BK7" s="19" t="str">
        <f t="shared" ca="1" si="5"/>
        <v>s</v>
      </c>
      <c r="BL7" s="19" t="str">
        <f t="shared" ca="1" si="5"/>
        <v>d</v>
      </c>
    </row>
    <row r="8" spans="1:64" ht="30" hidden="1" customHeight="1" x14ac:dyDescent="0.35">
      <c r="A8" s="12" t="s">
        <v>7</v>
      </c>
      <c r="B8" s="43"/>
      <c r="C8" s="27"/>
      <c r="D8" s="27"/>
      <c r="E8" s="27"/>
      <c r="F8" s="27"/>
      <c r="G8" s="27"/>
      <c r="I8" s="28"/>
      <c r="J8" s="28"/>
      <c r="K8" s="28"/>
      <c r="L8" s="28"/>
      <c r="M8" s="28"/>
      <c r="N8" s="28"/>
      <c r="O8" s="28"/>
      <c r="P8" s="28"/>
      <c r="Q8" s="28"/>
      <c r="R8" s="28"/>
      <c r="S8" s="28"/>
      <c r="T8" s="28"/>
      <c r="U8" s="28"/>
      <c r="V8" s="28"/>
      <c r="W8" s="28"/>
      <c r="X8" s="28"/>
      <c r="Y8" s="28"/>
      <c r="Z8" s="28"/>
      <c r="AA8" s="28"/>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c r="BE8" s="28"/>
      <c r="BF8" s="28"/>
      <c r="BG8" s="28"/>
      <c r="BH8" s="28"/>
      <c r="BI8" s="28"/>
      <c r="BJ8" s="28"/>
      <c r="BK8" s="28"/>
      <c r="BL8" s="28"/>
    </row>
    <row r="9" spans="1:64" s="1" customFormat="1" ht="30" customHeight="1" x14ac:dyDescent="0.35">
      <c r="A9" s="13" t="s">
        <v>8</v>
      </c>
      <c r="B9" s="64" t="s">
        <v>49</v>
      </c>
      <c r="C9" s="27"/>
      <c r="D9" s="27"/>
      <c r="E9"/>
      <c r="F9"/>
      <c r="G9"/>
      <c r="H9" s="20"/>
      <c r="I9" s="30" t="str">
        <f t="shared" ref="I9:X23" ca="1" si="6">IF(AND($C9="Objetivo",I$5&gt;=$F9,I$5&lt;=$F9+$G9-1),2,IF(AND($C9="Hito",I$5&gt;=$F9,I$5&lt;=$F9+$G9-1),1,""))</f>
        <v/>
      </c>
      <c r="J9" s="30" t="str">
        <f t="shared" ca="1" si="6"/>
        <v/>
      </c>
      <c r="K9" s="30" t="str">
        <f t="shared" ca="1" si="6"/>
        <v/>
      </c>
      <c r="L9" s="30" t="str">
        <f t="shared" ca="1" si="6"/>
        <v/>
      </c>
      <c r="M9" s="30" t="str">
        <f t="shared" ca="1" si="6"/>
        <v/>
      </c>
      <c r="N9" s="30" t="str">
        <f t="shared" ca="1" si="6"/>
        <v/>
      </c>
      <c r="O9" s="30" t="str">
        <f t="shared" ca="1" si="6"/>
        <v/>
      </c>
      <c r="P9" s="30" t="str">
        <f t="shared" ca="1" si="6"/>
        <v/>
      </c>
      <c r="Q9" s="30" t="str">
        <f t="shared" ca="1" si="6"/>
        <v/>
      </c>
      <c r="R9" s="30" t="str">
        <f t="shared" ca="1" si="6"/>
        <v/>
      </c>
      <c r="S9" s="30" t="str">
        <f t="shared" ca="1" si="6"/>
        <v/>
      </c>
      <c r="T9" s="30" t="str">
        <f t="shared" ca="1" si="6"/>
        <v/>
      </c>
      <c r="U9" s="30" t="str">
        <f t="shared" ca="1" si="6"/>
        <v/>
      </c>
      <c r="V9" s="30" t="str">
        <f t="shared" ca="1" si="6"/>
        <v/>
      </c>
      <c r="W9" s="30" t="str">
        <f t="shared" ca="1" si="6"/>
        <v/>
      </c>
      <c r="X9" s="30" t="str">
        <f t="shared" ca="1" si="6"/>
        <v/>
      </c>
      <c r="Y9" s="30" t="str">
        <f t="shared" ref="Y9:AN23" ca="1" si="7">IF(AND($C9="Objetivo",Y$5&gt;=$F9,Y$5&lt;=$F9+$G9-1),2,IF(AND($C9="Hito",Y$5&gt;=$F9,Y$5&lt;=$F9+$G9-1),1,""))</f>
        <v/>
      </c>
      <c r="Z9" s="30" t="str">
        <f t="shared" ca="1" si="7"/>
        <v/>
      </c>
      <c r="AA9" s="30" t="str">
        <f t="shared" ca="1" si="7"/>
        <v/>
      </c>
      <c r="AB9" s="30" t="str">
        <f t="shared" ca="1" si="7"/>
        <v/>
      </c>
      <c r="AC9" s="30" t="str">
        <f t="shared" ca="1" si="7"/>
        <v/>
      </c>
      <c r="AD9" s="30" t="str">
        <f t="shared" ca="1" si="7"/>
        <v/>
      </c>
      <c r="AE9" s="30" t="str">
        <f t="shared" ca="1" si="7"/>
        <v/>
      </c>
      <c r="AF9" s="30" t="str">
        <f t="shared" ca="1" si="7"/>
        <v/>
      </c>
      <c r="AG9" s="30" t="str">
        <f t="shared" ca="1" si="7"/>
        <v/>
      </c>
      <c r="AH9" s="30" t="str">
        <f t="shared" ca="1" si="7"/>
        <v/>
      </c>
      <c r="AI9" s="30" t="str">
        <f t="shared" ca="1" si="7"/>
        <v/>
      </c>
      <c r="AJ9" s="30" t="str">
        <f t="shared" ca="1" si="7"/>
        <v/>
      </c>
      <c r="AK9" s="30" t="str">
        <f t="shared" ca="1" si="7"/>
        <v/>
      </c>
      <c r="AL9" s="30" t="str">
        <f t="shared" ca="1" si="7"/>
        <v/>
      </c>
      <c r="AM9" s="30" t="str">
        <f t="shared" ca="1" si="7"/>
        <v/>
      </c>
      <c r="AN9" s="30" t="str">
        <f t="shared" ca="1" si="7"/>
        <v/>
      </c>
      <c r="AO9" s="30" t="str">
        <f t="shared" ref="AO9:BD23" ca="1" si="8">IF(AND($C9="Objetivo",AO$5&gt;=$F9,AO$5&lt;=$F9+$G9-1),2,IF(AND($C9="Hito",AO$5&gt;=$F9,AO$5&lt;=$F9+$G9-1),1,""))</f>
        <v/>
      </c>
      <c r="AP9" s="30" t="str">
        <f t="shared" ca="1" si="8"/>
        <v/>
      </c>
      <c r="AQ9" s="30" t="str">
        <f t="shared" ca="1" si="8"/>
        <v/>
      </c>
      <c r="AR9" s="30" t="str">
        <f t="shared" ca="1" si="8"/>
        <v/>
      </c>
      <c r="AS9" s="30" t="str">
        <f t="shared" ca="1" si="8"/>
        <v/>
      </c>
      <c r="AT9" s="30" t="str">
        <f t="shared" ca="1" si="8"/>
        <v/>
      </c>
      <c r="AU9" s="30" t="str">
        <f t="shared" ca="1" si="8"/>
        <v/>
      </c>
      <c r="AV9" s="30" t="str">
        <f t="shared" ca="1" si="8"/>
        <v/>
      </c>
      <c r="AW9" s="30" t="str">
        <f t="shared" ca="1" si="8"/>
        <v/>
      </c>
      <c r="AX9" s="30" t="str">
        <f t="shared" ca="1" si="8"/>
        <v/>
      </c>
      <c r="AY9" s="30" t="str">
        <f t="shared" ca="1" si="8"/>
        <v/>
      </c>
      <c r="AZ9" s="30" t="str">
        <f t="shared" ca="1" si="8"/>
        <v/>
      </c>
      <c r="BA9" s="30" t="str">
        <f t="shared" ca="1" si="8"/>
        <v/>
      </c>
      <c r="BB9" s="30" t="str">
        <f t="shared" ca="1" si="8"/>
        <v/>
      </c>
      <c r="BC9" s="30" t="str">
        <f t="shared" ca="1" si="8"/>
        <v/>
      </c>
      <c r="BD9" s="30" t="str">
        <f t="shared" ca="1" si="8"/>
        <v/>
      </c>
      <c r="BE9" s="30" t="str">
        <f t="shared" ref="BE9:BL23" ca="1" si="9">IF(AND($C9="Objetivo",BE$5&gt;=$F9,BE$5&lt;=$F9+$G9-1),2,IF(AND($C9="Hito",BE$5&gt;=$F9,BE$5&lt;=$F9+$G9-1),1,""))</f>
        <v/>
      </c>
      <c r="BF9" s="30" t="str">
        <f t="shared" ca="1" si="9"/>
        <v/>
      </c>
      <c r="BG9" s="30" t="str">
        <f t="shared" ca="1" si="9"/>
        <v/>
      </c>
      <c r="BH9" s="30" t="str">
        <f t="shared" ca="1" si="9"/>
        <v/>
      </c>
      <c r="BI9" s="30" t="str">
        <f t="shared" ca="1" si="9"/>
        <v/>
      </c>
      <c r="BJ9" s="30" t="str">
        <f t="shared" ca="1" si="9"/>
        <v/>
      </c>
      <c r="BK9" s="30" t="str">
        <f t="shared" ca="1" si="9"/>
        <v/>
      </c>
      <c r="BL9" s="30" t="str">
        <f t="shared" ca="1" si="9"/>
        <v/>
      </c>
    </row>
    <row r="10" spans="1:64" s="1" customFormat="1" ht="30" customHeight="1" x14ac:dyDescent="0.35">
      <c r="A10" s="13"/>
      <c r="B10" s="62" t="s">
        <v>42</v>
      </c>
      <c r="C10" s="27" t="s">
        <v>24</v>
      </c>
      <c r="D10" s="27" t="s">
        <v>40</v>
      </c>
      <c r="E10" s="24">
        <v>1</v>
      </c>
      <c r="F10" s="25">
        <f ca="1">TODAY()-20</f>
        <v>45012</v>
      </c>
      <c r="G10" s="26">
        <v>5</v>
      </c>
      <c r="H10" s="20"/>
      <c r="I10" s="30" t="str">
        <f ca="1">IF(AND($C10="Objetivo",I$5&gt;=$F10,I$5&lt;=$F10+$G10-1),2,IF(AND($C10="Hito",I$5&gt;=$F10,I$5&lt;=$F10+$G10-1),1,""))</f>
        <v/>
      </c>
      <c r="J10" s="30" t="str">
        <f t="shared" ca="1" si="6"/>
        <v/>
      </c>
      <c r="K10" s="30" t="str">
        <f t="shared" ca="1" si="6"/>
        <v/>
      </c>
      <c r="L10" s="30" t="str">
        <f t="shared" ca="1" si="6"/>
        <v/>
      </c>
      <c r="M10" s="30" t="str">
        <f t="shared" ca="1" si="6"/>
        <v/>
      </c>
      <c r="N10" s="30" t="str">
        <f t="shared" ca="1" si="6"/>
        <v/>
      </c>
      <c r="O10" s="30" t="str">
        <f t="shared" ca="1" si="6"/>
        <v/>
      </c>
      <c r="P10" s="30" t="str">
        <f t="shared" ca="1" si="6"/>
        <v/>
      </c>
      <c r="Q10" s="30" t="str">
        <f t="shared" ca="1" si="6"/>
        <v/>
      </c>
      <c r="R10" s="30" t="str">
        <f t="shared" ca="1" si="6"/>
        <v/>
      </c>
      <c r="S10" s="30" t="str">
        <f t="shared" ca="1" si="6"/>
        <v/>
      </c>
      <c r="T10" s="30" t="str">
        <f t="shared" ca="1" si="6"/>
        <v/>
      </c>
      <c r="U10" s="30" t="str">
        <f t="shared" ca="1" si="6"/>
        <v/>
      </c>
      <c r="V10" s="30" t="str">
        <f t="shared" ca="1" si="6"/>
        <v/>
      </c>
      <c r="W10" s="30" t="str">
        <f t="shared" ca="1" si="6"/>
        <v/>
      </c>
      <c r="X10" s="30" t="str">
        <f t="shared" ca="1" si="6"/>
        <v/>
      </c>
      <c r="Y10" s="30" t="str">
        <f t="shared" ca="1" si="7"/>
        <v/>
      </c>
      <c r="Z10" s="30" t="str">
        <f t="shared" ca="1" si="7"/>
        <v/>
      </c>
      <c r="AA10" s="30" t="str">
        <f t="shared" ca="1" si="7"/>
        <v/>
      </c>
      <c r="AB10" s="30" t="str">
        <f t="shared" ca="1" si="7"/>
        <v/>
      </c>
      <c r="AC10" s="30" t="str">
        <f t="shared" ca="1" si="7"/>
        <v/>
      </c>
      <c r="AD10" s="30" t="str">
        <f t="shared" ca="1" si="7"/>
        <v/>
      </c>
      <c r="AE10" s="30" t="str">
        <f t="shared" ca="1" si="7"/>
        <v/>
      </c>
      <c r="AF10" s="30" t="str">
        <f t="shared" ca="1" si="7"/>
        <v/>
      </c>
      <c r="AG10" s="30" t="str">
        <f t="shared" ca="1" si="7"/>
        <v/>
      </c>
      <c r="AH10" s="30" t="str">
        <f t="shared" ca="1" si="7"/>
        <v/>
      </c>
      <c r="AI10" s="30" t="str">
        <f t="shared" ca="1" si="7"/>
        <v/>
      </c>
      <c r="AJ10" s="30" t="str">
        <f t="shared" ca="1" si="7"/>
        <v/>
      </c>
      <c r="AK10" s="30" t="str">
        <f t="shared" ca="1" si="7"/>
        <v/>
      </c>
      <c r="AL10" s="30" t="str">
        <f t="shared" ca="1" si="7"/>
        <v/>
      </c>
      <c r="AM10" s="30" t="str">
        <f t="shared" ca="1" si="7"/>
        <v/>
      </c>
      <c r="AN10" s="30" t="str">
        <f t="shared" ca="1" si="7"/>
        <v/>
      </c>
      <c r="AO10" s="30" t="str">
        <f t="shared" ca="1" si="8"/>
        <v/>
      </c>
      <c r="AP10" s="30" t="str">
        <f t="shared" ca="1" si="8"/>
        <v/>
      </c>
      <c r="AQ10" s="30" t="str">
        <f t="shared" ca="1" si="8"/>
        <v/>
      </c>
      <c r="AR10" s="30" t="str">
        <f t="shared" ca="1" si="8"/>
        <v/>
      </c>
      <c r="AS10" s="30" t="str">
        <f t="shared" ca="1" si="8"/>
        <v/>
      </c>
      <c r="AT10" s="30" t="str">
        <f t="shared" ca="1" si="8"/>
        <v/>
      </c>
      <c r="AU10" s="30" t="str">
        <f t="shared" ca="1" si="8"/>
        <v/>
      </c>
      <c r="AV10" s="30" t="str">
        <f t="shared" ca="1" si="8"/>
        <v/>
      </c>
      <c r="AW10" s="30" t="str">
        <f t="shared" ca="1" si="8"/>
        <v/>
      </c>
      <c r="AX10" s="30" t="str">
        <f t="shared" ca="1" si="8"/>
        <v/>
      </c>
      <c r="AY10" s="30" t="str">
        <f t="shared" ca="1" si="8"/>
        <v/>
      </c>
      <c r="AZ10" s="30" t="str">
        <f t="shared" ca="1" si="8"/>
        <v/>
      </c>
      <c r="BA10" s="30" t="str">
        <f t="shared" ca="1" si="8"/>
        <v/>
      </c>
      <c r="BB10" s="30" t="str">
        <f t="shared" ca="1" si="8"/>
        <v/>
      </c>
      <c r="BC10" s="30" t="str">
        <f t="shared" ca="1" si="8"/>
        <v/>
      </c>
      <c r="BD10" s="30" t="str">
        <f t="shared" ca="1" si="8"/>
        <v/>
      </c>
      <c r="BE10" s="30" t="str">
        <f t="shared" ca="1" si="9"/>
        <v/>
      </c>
      <c r="BF10" s="30" t="str">
        <f t="shared" ca="1" si="9"/>
        <v/>
      </c>
      <c r="BG10" s="30" t="str">
        <f t="shared" ca="1" si="9"/>
        <v/>
      </c>
      <c r="BH10" s="30" t="str">
        <f t="shared" ca="1" si="9"/>
        <v/>
      </c>
      <c r="BI10" s="30" t="str">
        <f t="shared" ca="1" si="9"/>
        <v/>
      </c>
      <c r="BJ10" s="30" t="str">
        <f t="shared" ca="1" si="9"/>
        <v/>
      </c>
      <c r="BK10" s="30" t="str">
        <f t="shared" ca="1" si="9"/>
        <v/>
      </c>
      <c r="BL10" s="30" t="str">
        <f t="shared" ca="1" si="9"/>
        <v/>
      </c>
    </row>
    <row r="11" spans="1:64" s="1" customFormat="1" ht="30" customHeight="1" x14ac:dyDescent="0.35">
      <c r="A11" s="13"/>
      <c r="B11" s="43" t="s">
        <v>43</v>
      </c>
      <c r="C11" s="27" t="s">
        <v>24</v>
      </c>
      <c r="D11" s="27" t="s">
        <v>40</v>
      </c>
      <c r="E11" s="24">
        <v>0.95</v>
      </c>
      <c r="F11" s="25">
        <f ca="1">F10+7</f>
        <v>45019</v>
      </c>
      <c r="G11" s="26">
        <v>7</v>
      </c>
      <c r="H11" s="20"/>
      <c r="I11" s="30" t="str">
        <f t="shared" ref="I11:X24" ca="1" si="10">IF(AND($C11="Objetivo",I$5&gt;=$F11,I$5&lt;=$F11+$G11-1),2,IF(AND($C11="Hito",I$5&gt;=$F11,I$5&lt;=$F11+$G11-1),1,""))</f>
        <v/>
      </c>
      <c r="J11" s="30" t="str">
        <f t="shared" ca="1" si="6"/>
        <v/>
      </c>
      <c r="K11" s="30" t="str">
        <f t="shared" ca="1" si="6"/>
        <v/>
      </c>
      <c r="L11" s="30" t="str">
        <f t="shared" ca="1" si="6"/>
        <v/>
      </c>
      <c r="M11" s="30" t="str">
        <f t="shared" ca="1" si="6"/>
        <v/>
      </c>
      <c r="N11" s="30" t="str">
        <f t="shared" ca="1" si="6"/>
        <v/>
      </c>
      <c r="O11" s="30" t="str">
        <f t="shared" ca="1" si="6"/>
        <v/>
      </c>
      <c r="P11" s="30" t="str">
        <f t="shared" ca="1" si="6"/>
        <v/>
      </c>
      <c r="Q11" s="30" t="str">
        <f t="shared" ca="1" si="6"/>
        <v/>
      </c>
      <c r="R11" s="30" t="str">
        <f t="shared" ca="1" si="6"/>
        <v/>
      </c>
      <c r="S11" s="30" t="str">
        <f t="shared" ca="1" si="6"/>
        <v/>
      </c>
      <c r="T11" s="30" t="str">
        <f t="shared" ca="1" si="6"/>
        <v/>
      </c>
      <c r="U11" s="30" t="str">
        <f t="shared" ca="1" si="6"/>
        <v/>
      </c>
      <c r="V11" s="30" t="str">
        <f t="shared" ca="1" si="6"/>
        <v/>
      </c>
      <c r="W11" s="30" t="str">
        <f t="shared" ca="1" si="6"/>
        <v/>
      </c>
      <c r="X11" s="30" t="str">
        <f t="shared" ca="1" si="6"/>
        <v/>
      </c>
      <c r="Y11" s="30" t="str">
        <f t="shared" ca="1" si="7"/>
        <v/>
      </c>
      <c r="Z11" s="30" t="str">
        <f t="shared" ca="1" si="7"/>
        <v/>
      </c>
      <c r="AA11" s="30" t="str">
        <f t="shared" ca="1" si="7"/>
        <v/>
      </c>
      <c r="AB11" s="30" t="str">
        <f t="shared" ca="1" si="7"/>
        <v/>
      </c>
      <c r="AC11" s="30" t="str">
        <f t="shared" ca="1" si="7"/>
        <v/>
      </c>
      <c r="AD11" s="30" t="str">
        <f t="shared" ca="1" si="7"/>
        <v/>
      </c>
      <c r="AE11" s="30" t="str">
        <f t="shared" ca="1" si="7"/>
        <v/>
      </c>
      <c r="AF11" s="30" t="str">
        <f t="shared" ca="1" si="7"/>
        <v/>
      </c>
      <c r="AG11" s="30" t="str">
        <f t="shared" ca="1" si="7"/>
        <v/>
      </c>
      <c r="AH11" s="30" t="str">
        <f t="shared" ca="1" si="7"/>
        <v/>
      </c>
      <c r="AI11" s="30" t="str">
        <f t="shared" ca="1" si="7"/>
        <v/>
      </c>
      <c r="AJ11" s="30" t="str">
        <f t="shared" ca="1" si="7"/>
        <v/>
      </c>
      <c r="AK11" s="30" t="str">
        <f t="shared" ca="1" si="7"/>
        <v/>
      </c>
      <c r="AL11" s="30" t="str">
        <f t="shared" ca="1" si="7"/>
        <v/>
      </c>
      <c r="AM11" s="30" t="str">
        <f t="shared" ca="1" si="7"/>
        <v/>
      </c>
      <c r="AN11" s="30" t="str">
        <f t="shared" ca="1" si="7"/>
        <v/>
      </c>
      <c r="AO11" s="30" t="str">
        <f t="shared" ca="1" si="8"/>
        <v/>
      </c>
      <c r="AP11" s="30" t="str">
        <f t="shared" ca="1" si="8"/>
        <v/>
      </c>
      <c r="AQ11" s="30" t="str">
        <f t="shared" ca="1" si="8"/>
        <v/>
      </c>
      <c r="AR11" s="30" t="str">
        <f t="shared" ca="1" si="8"/>
        <v/>
      </c>
      <c r="AS11" s="30" t="str">
        <f t="shared" ca="1" si="8"/>
        <v/>
      </c>
      <c r="AT11" s="30" t="str">
        <f t="shared" ca="1" si="8"/>
        <v/>
      </c>
      <c r="AU11" s="30" t="str">
        <f t="shared" ca="1" si="8"/>
        <v/>
      </c>
      <c r="AV11" s="30" t="str">
        <f t="shared" ca="1" si="8"/>
        <v/>
      </c>
      <c r="AW11" s="30" t="str">
        <f t="shared" ca="1" si="8"/>
        <v/>
      </c>
      <c r="AX11" s="30" t="str">
        <f t="shared" ca="1" si="8"/>
        <v/>
      </c>
      <c r="AY11" s="30" t="str">
        <f t="shared" ca="1" si="8"/>
        <v/>
      </c>
      <c r="AZ11" s="30" t="str">
        <f t="shared" ca="1" si="8"/>
        <v/>
      </c>
      <c r="BA11" s="30" t="str">
        <f t="shared" ca="1" si="8"/>
        <v/>
      </c>
      <c r="BB11" s="30" t="str">
        <f t="shared" ca="1" si="8"/>
        <v/>
      </c>
      <c r="BC11" s="30" t="str">
        <f t="shared" ca="1" si="8"/>
        <v/>
      </c>
      <c r="BD11" s="30" t="str">
        <f t="shared" ca="1" si="8"/>
        <v/>
      </c>
      <c r="BE11" s="30" t="str">
        <f t="shared" ca="1" si="9"/>
        <v/>
      </c>
      <c r="BF11" s="30" t="str">
        <f t="shared" ca="1" si="9"/>
        <v/>
      </c>
      <c r="BG11" s="30" t="str">
        <f t="shared" ca="1" si="9"/>
        <v/>
      </c>
      <c r="BH11" s="30" t="str">
        <f t="shared" ca="1" si="9"/>
        <v/>
      </c>
      <c r="BI11" s="30" t="str">
        <f t="shared" ca="1" si="9"/>
        <v/>
      </c>
      <c r="BJ11" s="30" t="str">
        <f t="shared" ca="1" si="9"/>
        <v/>
      </c>
      <c r="BK11" s="30" t="str">
        <f t="shared" ca="1" si="9"/>
        <v/>
      </c>
      <c r="BL11" s="30" t="str">
        <f t="shared" ca="1" si="9"/>
        <v/>
      </c>
    </row>
    <row r="12" spans="1:64" s="1" customFormat="1" ht="30" customHeight="1" x14ac:dyDescent="0.35">
      <c r="A12" s="12"/>
      <c r="B12" s="43" t="s">
        <v>44</v>
      </c>
      <c r="C12" s="27" t="s">
        <v>21</v>
      </c>
      <c r="D12" s="27" t="s">
        <v>40</v>
      </c>
      <c r="E12" s="24">
        <v>0.98</v>
      </c>
      <c r="F12" s="25">
        <f ca="1">F11+7</f>
        <v>45026</v>
      </c>
      <c r="G12" s="26">
        <v>6</v>
      </c>
      <c r="H12" s="20"/>
      <c r="I12" s="30" t="str">
        <f t="shared" ca="1" si="10"/>
        <v/>
      </c>
      <c r="J12" s="30" t="str">
        <f t="shared" ca="1" si="6"/>
        <v/>
      </c>
      <c r="K12" s="30" t="str">
        <f t="shared" ca="1" si="6"/>
        <v/>
      </c>
      <c r="L12" s="30" t="str">
        <f t="shared" ca="1" si="6"/>
        <v/>
      </c>
      <c r="M12" s="30" t="str">
        <f t="shared" ca="1" si="6"/>
        <v/>
      </c>
      <c r="N12" s="30" t="str">
        <f t="shared" ca="1" si="6"/>
        <v/>
      </c>
      <c r="O12" s="30" t="str">
        <f t="shared" ca="1" si="6"/>
        <v/>
      </c>
      <c r="P12" s="30" t="str">
        <f t="shared" ca="1" si="6"/>
        <v/>
      </c>
      <c r="Q12" s="30" t="str">
        <f t="shared" ca="1" si="6"/>
        <v/>
      </c>
      <c r="R12" s="30" t="str">
        <f t="shared" ca="1" si="6"/>
        <v/>
      </c>
      <c r="S12" s="30" t="str">
        <f t="shared" ca="1" si="6"/>
        <v/>
      </c>
      <c r="T12" s="30" t="str">
        <f t="shared" ca="1" si="6"/>
        <v/>
      </c>
      <c r="U12" s="30" t="str">
        <f t="shared" ca="1" si="6"/>
        <v/>
      </c>
      <c r="V12" s="30" t="str">
        <f t="shared" ca="1" si="6"/>
        <v/>
      </c>
      <c r="W12" s="30" t="str">
        <f t="shared" ca="1" si="6"/>
        <v/>
      </c>
      <c r="X12" s="30" t="str">
        <f t="shared" ca="1" si="6"/>
        <v/>
      </c>
      <c r="Y12" s="30" t="str">
        <f t="shared" ca="1" si="7"/>
        <v/>
      </c>
      <c r="Z12" s="30" t="str">
        <f t="shared" ca="1" si="7"/>
        <v/>
      </c>
      <c r="AA12" s="30" t="str">
        <f t="shared" ca="1" si="7"/>
        <v/>
      </c>
      <c r="AB12" s="30" t="str">
        <f t="shared" ca="1" si="7"/>
        <v/>
      </c>
      <c r="AC12" s="30" t="str">
        <f t="shared" ca="1" si="7"/>
        <v/>
      </c>
      <c r="AD12" s="30" t="str">
        <f t="shared" ca="1" si="7"/>
        <v/>
      </c>
      <c r="AE12" s="30" t="str">
        <f t="shared" ca="1" si="7"/>
        <v/>
      </c>
      <c r="AF12" s="30" t="str">
        <f t="shared" ca="1" si="7"/>
        <v/>
      </c>
      <c r="AG12" s="30" t="str">
        <f t="shared" ca="1" si="7"/>
        <v/>
      </c>
      <c r="AH12" s="30" t="str">
        <f t="shared" ca="1" si="7"/>
        <v/>
      </c>
      <c r="AI12" s="30" t="str">
        <f t="shared" ca="1" si="7"/>
        <v/>
      </c>
      <c r="AJ12" s="30" t="str">
        <f t="shared" ca="1" si="7"/>
        <v/>
      </c>
      <c r="AK12" s="30" t="str">
        <f t="shared" ca="1" si="7"/>
        <v/>
      </c>
      <c r="AL12" s="30" t="str">
        <f t="shared" ca="1" si="7"/>
        <v/>
      </c>
      <c r="AM12" s="30" t="str">
        <f t="shared" ca="1" si="7"/>
        <v/>
      </c>
      <c r="AN12" s="30" t="str">
        <f t="shared" ca="1" si="7"/>
        <v/>
      </c>
      <c r="AO12" s="30" t="str">
        <f t="shared" ca="1" si="8"/>
        <v/>
      </c>
      <c r="AP12" s="30" t="str">
        <f t="shared" ca="1" si="8"/>
        <v/>
      </c>
      <c r="AQ12" s="30" t="str">
        <f t="shared" ca="1" si="8"/>
        <v/>
      </c>
      <c r="AR12" s="30" t="str">
        <f t="shared" ca="1" si="8"/>
        <v/>
      </c>
      <c r="AS12" s="30" t="str">
        <f t="shared" ca="1" si="8"/>
        <v/>
      </c>
      <c r="AT12" s="30" t="str">
        <f t="shared" ca="1" si="8"/>
        <v/>
      </c>
      <c r="AU12" s="30" t="str">
        <f t="shared" ca="1" si="8"/>
        <v/>
      </c>
      <c r="AV12" s="30" t="str">
        <f t="shared" ca="1" si="8"/>
        <v/>
      </c>
      <c r="AW12" s="30" t="str">
        <f t="shared" ca="1" si="8"/>
        <v/>
      </c>
      <c r="AX12" s="30" t="str">
        <f t="shared" ca="1" si="8"/>
        <v/>
      </c>
      <c r="AY12" s="30" t="str">
        <f t="shared" ca="1" si="8"/>
        <v/>
      </c>
      <c r="AZ12" s="30" t="str">
        <f t="shared" ca="1" si="8"/>
        <v/>
      </c>
      <c r="BA12" s="30" t="str">
        <f t="shared" ca="1" si="8"/>
        <v/>
      </c>
      <c r="BB12" s="30" t="str">
        <f t="shared" ca="1" si="8"/>
        <v/>
      </c>
      <c r="BC12" s="30" t="str">
        <f t="shared" ca="1" si="8"/>
        <v/>
      </c>
      <c r="BD12" s="30" t="str">
        <f t="shared" ca="1" si="8"/>
        <v/>
      </c>
      <c r="BE12" s="30" t="str">
        <f t="shared" ca="1" si="9"/>
        <v/>
      </c>
      <c r="BF12" s="30" t="str">
        <f t="shared" ca="1" si="9"/>
        <v/>
      </c>
      <c r="BG12" s="30" t="str">
        <f t="shared" ca="1" si="9"/>
        <v/>
      </c>
      <c r="BH12" s="30" t="str">
        <f t="shared" ca="1" si="9"/>
        <v/>
      </c>
      <c r="BI12" s="30" t="str">
        <f t="shared" ca="1" si="9"/>
        <v/>
      </c>
      <c r="BJ12" s="30" t="str">
        <f t="shared" ca="1" si="9"/>
        <v/>
      </c>
      <c r="BK12" s="30" t="str">
        <f t="shared" ca="1" si="9"/>
        <v/>
      </c>
      <c r="BL12" s="30" t="str">
        <f t="shared" ca="1" si="9"/>
        <v/>
      </c>
    </row>
    <row r="13" spans="1:64" s="1" customFormat="1" ht="30" customHeight="1" x14ac:dyDescent="0.35">
      <c r="A13" s="12"/>
      <c r="B13" s="43" t="s">
        <v>47</v>
      </c>
      <c r="C13" s="27" t="s">
        <v>24</v>
      </c>
      <c r="D13" s="27" t="s">
        <v>40</v>
      </c>
      <c r="E13" s="24">
        <v>1</v>
      </c>
      <c r="F13" s="25">
        <f t="shared" ref="F13" ca="1" si="11">F12+7</f>
        <v>45033</v>
      </c>
      <c r="G13" s="26">
        <v>1</v>
      </c>
      <c r="H13" s="20"/>
      <c r="I13" s="30" t="str">
        <f t="shared" ca="1" si="10"/>
        <v/>
      </c>
      <c r="J13" s="30" t="str">
        <f t="shared" ca="1" si="6"/>
        <v/>
      </c>
      <c r="K13" s="30" t="str">
        <f t="shared" ca="1" si="6"/>
        <v/>
      </c>
      <c r="L13" s="30" t="str">
        <f t="shared" ca="1" si="6"/>
        <v/>
      </c>
      <c r="M13" s="30" t="str">
        <f t="shared" ca="1" si="6"/>
        <v/>
      </c>
      <c r="N13" s="30" t="str">
        <f t="shared" ca="1" si="6"/>
        <v/>
      </c>
      <c r="O13" s="30" t="str">
        <f t="shared" ca="1" si="6"/>
        <v/>
      </c>
      <c r="P13" s="30" t="str">
        <f t="shared" ca="1" si="6"/>
        <v/>
      </c>
      <c r="Q13" s="30" t="str">
        <f t="shared" ca="1" si="6"/>
        <v/>
      </c>
      <c r="R13" s="30" t="str">
        <f t="shared" ca="1" si="6"/>
        <v/>
      </c>
      <c r="S13" s="30" t="str">
        <f t="shared" ca="1" si="6"/>
        <v/>
      </c>
      <c r="T13" s="30" t="str">
        <f t="shared" ca="1" si="6"/>
        <v/>
      </c>
      <c r="U13" s="30" t="str">
        <f t="shared" ca="1" si="6"/>
        <v/>
      </c>
      <c r="V13" s="30" t="str">
        <f t="shared" ca="1" si="6"/>
        <v/>
      </c>
      <c r="W13" s="30" t="str">
        <f t="shared" ca="1" si="6"/>
        <v/>
      </c>
      <c r="X13" s="30" t="str">
        <f t="shared" ca="1" si="6"/>
        <v/>
      </c>
      <c r="Y13" s="30" t="str">
        <f t="shared" ca="1" si="7"/>
        <v/>
      </c>
      <c r="Z13" s="30" t="str">
        <f t="shared" ca="1" si="7"/>
        <v/>
      </c>
      <c r="AA13" s="30" t="str">
        <f t="shared" ca="1" si="7"/>
        <v/>
      </c>
      <c r="AB13" s="30" t="str">
        <f t="shared" ca="1" si="7"/>
        <v/>
      </c>
      <c r="AC13" s="30" t="str">
        <f t="shared" ca="1" si="7"/>
        <v/>
      </c>
      <c r="AD13" s="30" t="str">
        <f t="shared" ca="1" si="7"/>
        <v/>
      </c>
      <c r="AE13" s="30" t="str">
        <f t="shared" ca="1" si="7"/>
        <v/>
      </c>
      <c r="AF13" s="30" t="str">
        <f t="shared" ca="1" si="7"/>
        <v/>
      </c>
      <c r="AG13" s="30" t="str">
        <f t="shared" ca="1" si="7"/>
        <v/>
      </c>
      <c r="AH13" s="30" t="str">
        <f t="shared" ca="1" si="7"/>
        <v/>
      </c>
      <c r="AI13" s="30" t="str">
        <f t="shared" ca="1" si="7"/>
        <v/>
      </c>
      <c r="AJ13" s="30" t="str">
        <f t="shared" ca="1" si="7"/>
        <v/>
      </c>
      <c r="AK13" s="30" t="str">
        <f t="shared" ca="1" si="7"/>
        <v/>
      </c>
      <c r="AL13" s="30" t="str">
        <f t="shared" ca="1" si="7"/>
        <v/>
      </c>
      <c r="AM13" s="30" t="str">
        <f t="shared" ca="1" si="7"/>
        <v/>
      </c>
      <c r="AN13" s="30" t="str">
        <f t="shared" ca="1" si="7"/>
        <v/>
      </c>
      <c r="AO13" s="30" t="str">
        <f t="shared" ca="1" si="8"/>
        <v/>
      </c>
      <c r="AP13" s="30" t="str">
        <f t="shared" ca="1" si="8"/>
        <v/>
      </c>
      <c r="AQ13" s="30" t="str">
        <f t="shared" ca="1" si="8"/>
        <v/>
      </c>
      <c r="AR13" s="30" t="str">
        <f t="shared" ca="1" si="8"/>
        <v/>
      </c>
      <c r="AS13" s="30" t="str">
        <f t="shared" ca="1" si="8"/>
        <v/>
      </c>
      <c r="AT13" s="30" t="str">
        <f t="shared" ca="1" si="8"/>
        <v/>
      </c>
      <c r="AU13" s="30" t="str">
        <f t="shared" ca="1" si="8"/>
        <v/>
      </c>
      <c r="AV13" s="30" t="str">
        <f t="shared" ca="1" si="8"/>
        <v/>
      </c>
      <c r="AW13" s="30" t="str">
        <f t="shared" ca="1" si="8"/>
        <v/>
      </c>
      <c r="AX13" s="30" t="str">
        <f t="shared" ca="1" si="8"/>
        <v/>
      </c>
      <c r="AY13" s="30" t="str">
        <f t="shared" ca="1" si="8"/>
        <v/>
      </c>
      <c r="AZ13" s="30" t="str">
        <f t="shared" ca="1" si="8"/>
        <v/>
      </c>
      <c r="BA13" s="30" t="str">
        <f t="shared" ca="1" si="8"/>
        <v/>
      </c>
      <c r="BB13" s="30" t="str">
        <f t="shared" ca="1" si="8"/>
        <v/>
      </c>
      <c r="BC13" s="30" t="str">
        <f t="shared" ca="1" si="8"/>
        <v/>
      </c>
      <c r="BD13" s="30" t="str">
        <f t="shared" ca="1" si="8"/>
        <v/>
      </c>
      <c r="BE13" s="30" t="str">
        <f t="shared" ca="1" si="9"/>
        <v/>
      </c>
      <c r="BF13" s="30" t="str">
        <f t="shared" ca="1" si="9"/>
        <v/>
      </c>
      <c r="BG13" s="30" t="str">
        <f t="shared" ca="1" si="9"/>
        <v/>
      </c>
      <c r="BH13" s="30" t="str">
        <f t="shared" ca="1" si="9"/>
        <v/>
      </c>
      <c r="BI13" s="30" t="str">
        <f t="shared" ca="1" si="9"/>
        <v/>
      </c>
      <c r="BJ13" s="30" t="str">
        <f t="shared" ca="1" si="9"/>
        <v/>
      </c>
      <c r="BK13" s="30" t="str">
        <f t="shared" ca="1" si="9"/>
        <v/>
      </c>
      <c r="BL13" s="30" t="str">
        <f t="shared" ca="1" si="9"/>
        <v/>
      </c>
    </row>
    <row r="14" spans="1:64" s="1" customFormat="1" ht="30" customHeight="1" x14ac:dyDescent="0.35">
      <c r="A14" s="13"/>
      <c r="B14" s="61" t="s">
        <v>45</v>
      </c>
      <c r="C14" s="27"/>
      <c r="D14" s="27"/>
      <c r="E14"/>
      <c r="F14"/>
      <c r="G14"/>
      <c r="H14" s="20"/>
      <c r="I14" s="30" t="str">
        <f t="shared" ca="1" si="10"/>
        <v/>
      </c>
      <c r="J14" s="30" t="str">
        <f t="shared" ca="1" si="6"/>
        <v/>
      </c>
      <c r="K14" s="30" t="str">
        <f t="shared" ca="1" si="6"/>
        <v/>
      </c>
      <c r="L14" s="30" t="str">
        <f t="shared" ca="1" si="6"/>
        <v/>
      </c>
      <c r="M14" s="30" t="str">
        <f t="shared" ca="1" si="6"/>
        <v/>
      </c>
      <c r="N14" s="30" t="str">
        <f t="shared" ca="1" si="6"/>
        <v/>
      </c>
      <c r="O14" s="30" t="str">
        <f t="shared" ca="1" si="6"/>
        <v/>
      </c>
      <c r="P14" s="30" t="str">
        <f t="shared" ca="1" si="6"/>
        <v/>
      </c>
      <c r="Q14" s="30" t="str">
        <f t="shared" ca="1" si="6"/>
        <v/>
      </c>
      <c r="R14" s="30" t="str">
        <f t="shared" ca="1" si="6"/>
        <v/>
      </c>
      <c r="S14" s="30" t="str">
        <f t="shared" ca="1" si="6"/>
        <v/>
      </c>
      <c r="T14" s="30" t="str">
        <f t="shared" ca="1" si="6"/>
        <v/>
      </c>
      <c r="U14" s="30" t="str">
        <f t="shared" ca="1" si="6"/>
        <v/>
      </c>
      <c r="V14" s="30" t="str">
        <f t="shared" ca="1" si="6"/>
        <v/>
      </c>
      <c r="W14" s="30" t="str">
        <f t="shared" ca="1" si="6"/>
        <v/>
      </c>
      <c r="X14" s="30" t="str">
        <f t="shared" ca="1" si="6"/>
        <v/>
      </c>
      <c r="Y14" s="30" t="str">
        <f t="shared" ca="1" si="7"/>
        <v/>
      </c>
      <c r="Z14" s="30" t="str">
        <f t="shared" ca="1" si="7"/>
        <v/>
      </c>
      <c r="AA14" s="30" t="str">
        <f t="shared" ca="1" si="7"/>
        <v/>
      </c>
      <c r="AB14" s="30" t="str">
        <f t="shared" ca="1" si="7"/>
        <v/>
      </c>
      <c r="AC14" s="30" t="str">
        <f t="shared" ca="1" si="7"/>
        <v/>
      </c>
      <c r="AD14" s="30" t="str">
        <f t="shared" ca="1" si="7"/>
        <v/>
      </c>
      <c r="AE14" s="30" t="str">
        <f t="shared" ca="1" si="7"/>
        <v/>
      </c>
      <c r="AF14" s="30" t="str">
        <f t="shared" ca="1" si="7"/>
        <v/>
      </c>
      <c r="AG14" s="30" t="str">
        <f t="shared" ca="1" si="7"/>
        <v/>
      </c>
      <c r="AH14" s="30" t="str">
        <f t="shared" ca="1" si="7"/>
        <v/>
      </c>
      <c r="AI14" s="30" t="str">
        <f t="shared" ca="1" si="7"/>
        <v/>
      </c>
      <c r="AJ14" s="30" t="str">
        <f t="shared" ca="1" si="7"/>
        <v/>
      </c>
      <c r="AK14" s="30" t="str">
        <f t="shared" ca="1" si="7"/>
        <v/>
      </c>
      <c r="AL14" s="30" t="str">
        <f t="shared" ca="1" si="7"/>
        <v/>
      </c>
      <c r="AM14" s="30" t="str">
        <f t="shared" ca="1" si="7"/>
        <v/>
      </c>
      <c r="AN14" s="30" t="str">
        <f t="shared" ca="1" si="7"/>
        <v/>
      </c>
      <c r="AO14" s="30" t="str">
        <f t="shared" ca="1" si="8"/>
        <v/>
      </c>
      <c r="AP14" s="30" t="str">
        <f t="shared" ca="1" si="8"/>
        <v/>
      </c>
      <c r="AQ14" s="30" t="str">
        <f t="shared" ca="1" si="8"/>
        <v/>
      </c>
      <c r="AR14" s="30" t="str">
        <f t="shared" ca="1" si="8"/>
        <v/>
      </c>
      <c r="AS14" s="30" t="str">
        <f t="shared" ca="1" si="8"/>
        <v/>
      </c>
      <c r="AT14" s="30" t="str">
        <f t="shared" ca="1" si="8"/>
        <v/>
      </c>
      <c r="AU14" s="30" t="str">
        <f t="shared" ca="1" si="8"/>
        <v/>
      </c>
      <c r="AV14" s="30" t="str">
        <f t="shared" ca="1" si="8"/>
        <v/>
      </c>
      <c r="AW14" s="30" t="str">
        <f t="shared" ca="1" si="8"/>
        <v/>
      </c>
      <c r="AX14" s="30" t="str">
        <f t="shared" ca="1" si="8"/>
        <v/>
      </c>
      <c r="AY14" s="30" t="str">
        <f t="shared" ca="1" si="8"/>
        <v/>
      </c>
      <c r="AZ14" s="30" t="str">
        <f t="shared" ca="1" si="8"/>
        <v/>
      </c>
      <c r="BA14" s="30" t="str">
        <f t="shared" ca="1" si="8"/>
        <v/>
      </c>
      <c r="BB14" s="30" t="str">
        <f t="shared" ca="1" si="8"/>
        <v/>
      </c>
      <c r="BC14" s="30" t="str">
        <f t="shared" ca="1" si="8"/>
        <v/>
      </c>
      <c r="BD14" s="30" t="str">
        <f t="shared" ca="1" si="8"/>
        <v/>
      </c>
      <c r="BE14" s="30" t="str">
        <f t="shared" ca="1" si="9"/>
        <v/>
      </c>
      <c r="BF14" s="30" t="str">
        <f t="shared" ca="1" si="9"/>
        <v/>
      </c>
      <c r="BG14" s="30" t="str">
        <f t="shared" ca="1" si="9"/>
        <v/>
      </c>
      <c r="BH14" s="30" t="str">
        <f t="shared" ca="1" si="9"/>
        <v/>
      </c>
      <c r="BI14" s="30" t="str">
        <f t="shared" ca="1" si="9"/>
        <v/>
      </c>
      <c r="BJ14" s="30" t="str">
        <f t="shared" ca="1" si="9"/>
        <v/>
      </c>
      <c r="BK14" s="30" t="str">
        <f t="shared" ca="1" si="9"/>
        <v/>
      </c>
      <c r="BL14" s="30" t="str">
        <f t="shared" ca="1" si="9"/>
        <v/>
      </c>
    </row>
    <row r="15" spans="1:64" s="1" customFormat="1" ht="30" customHeight="1" x14ac:dyDescent="0.35">
      <c r="A15" s="13"/>
      <c r="B15" s="43" t="s">
        <v>14</v>
      </c>
      <c r="C15" s="27" t="s">
        <v>24</v>
      </c>
      <c r="D15" s="27" t="s">
        <v>40</v>
      </c>
      <c r="E15" s="24">
        <v>0.4</v>
      </c>
      <c r="F15" s="25">
        <f ca="1">F13+7</f>
        <v>45040</v>
      </c>
      <c r="G15" s="26">
        <v>1</v>
      </c>
      <c r="H15" s="20"/>
      <c r="I15" s="30" t="str">
        <f t="shared" ca="1" si="10"/>
        <v/>
      </c>
      <c r="J15" s="30" t="str">
        <f t="shared" ca="1" si="6"/>
        <v/>
      </c>
      <c r="K15" s="30" t="str">
        <f t="shared" ca="1" si="6"/>
        <v/>
      </c>
      <c r="L15" s="30" t="str">
        <f t="shared" ca="1" si="6"/>
        <v/>
      </c>
      <c r="M15" s="30" t="str">
        <f t="shared" ca="1" si="6"/>
        <v/>
      </c>
      <c r="N15" s="30" t="str">
        <f t="shared" ca="1" si="6"/>
        <v/>
      </c>
      <c r="O15" s="30" t="str">
        <f t="shared" ca="1" si="6"/>
        <v/>
      </c>
      <c r="P15" s="30" t="str">
        <f t="shared" ca="1" si="6"/>
        <v/>
      </c>
      <c r="Q15" s="30" t="str">
        <f t="shared" ca="1" si="6"/>
        <v/>
      </c>
      <c r="R15" s="30" t="str">
        <f t="shared" ca="1" si="6"/>
        <v/>
      </c>
      <c r="S15" s="30" t="str">
        <f t="shared" ca="1" si="6"/>
        <v/>
      </c>
      <c r="T15" s="30" t="str">
        <f t="shared" ca="1" si="6"/>
        <v/>
      </c>
      <c r="U15" s="30" t="str">
        <f t="shared" ca="1" si="6"/>
        <v/>
      </c>
      <c r="V15" s="30" t="str">
        <f t="shared" ca="1" si="6"/>
        <v/>
      </c>
      <c r="W15" s="30" t="str">
        <f t="shared" ca="1" si="6"/>
        <v/>
      </c>
      <c r="X15" s="30" t="str">
        <f t="shared" ca="1" si="6"/>
        <v/>
      </c>
      <c r="Y15" s="30" t="str">
        <f t="shared" ca="1" si="7"/>
        <v/>
      </c>
      <c r="Z15" s="30" t="str">
        <f t="shared" ca="1" si="7"/>
        <v/>
      </c>
      <c r="AA15" s="30" t="str">
        <f t="shared" ca="1" si="7"/>
        <v/>
      </c>
      <c r="AB15" s="30" t="str">
        <f t="shared" ca="1" si="7"/>
        <v/>
      </c>
      <c r="AC15" s="30" t="str">
        <f t="shared" ca="1" si="7"/>
        <v/>
      </c>
      <c r="AD15" s="30" t="str">
        <f t="shared" ca="1" si="7"/>
        <v/>
      </c>
      <c r="AE15" s="30" t="str">
        <f t="shared" ca="1" si="7"/>
        <v/>
      </c>
      <c r="AF15" s="30" t="str">
        <f t="shared" ca="1" si="7"/>
        <v/>
      </c>
      <c r="AG15" s="30" t="str">
        <f t="shared" ca="1" si="7"/>
        <v/>
      </c>
      <c r="AH15" s="30" t="str">
        <f t="shared" ca="1" si="7"/>
        <v/>
      </c>
      <c r="AI15" s="30" t="str">
        <f t="shared" ca="1" si="7"/>
        <v/>
      </c>
      <c r="AJ15" s="30" t="str">
        <f t="shared" ca="1" si="7"/>
        <v/>
      </c>
      <c r="AK15" s="30" t="str">
        <f t="shared" ca="1" si="7"/>
        <v/>
      </c>
      <c r="AL15" s="30" t="str">
        <f t="shared" ca="1" si="7"/>
        <v/>
      </c>
      <c r="AM15" s="30" t="str">
        <f t="shared" ca="1" si="7"/>
        <v/>
      </c>
      <c r="AN15" s="30" t="str">
        <f t="shared" ca="1" si="7"/>
        <v/>
      </c>
      <c r="AO15" s="30" t="str">
        <f t="shared" ca="1" si="8"/>
        <v/>
      </c>
      <c r="AP15" s="30" t="str">
        <f t="shared" ca="1" si="8"/>
        <v/>
      </c>
      <c r="AQ15" s="30" t="str">
        <f t="shared" ca="1" si="8"/>
        <v/>
      </c>
      <c r="AR15" s="30" t="str">
        <f t="shared" ca="1" si="8"/>
        <v/>
      </c>
      <c r="AS15" s="30" t="str">
        <f t="shared" ca="1" si="8"/>
        <v/>
      </c>
      <c r="AT15" s="30" t="str">
        <f t="shared" ca="1" si="8"/>
        <v/>
      </c>
      <c r="AU15" s="30" t="str">
        <f t="shared" ca="1" si="8"/>
        <v/>
      </c>
      <c r="AV15" s="30" t="str">
        <f t="shared" ca="1" si="8"/>
        <v/>
      </c>
      <c r="AW15" s="30" t="str">
        <f t="shared" ca="1" si="8"/>
        <v/>
      </c>
      <c r="AX15" s="30" t="str">
        <f t="shared" ca="1" si="8"/>
        <v/>
      </c>
      <c r="AY15" s="30" t="str">
        <f t="shared" ca="1" si="8"/>
        <v/>
      </c>
      <c r="AZ15" s="30" t="str">
        <f t="shared" ca="1" si="8"/>
        <v/>
      </c>
      <c r="BA15" s="30" t="str">
        <f t="shared" ca="1" si="8"/>
        <v/>
      </c>
      <c r="BB15" s="30" t="str">
        <f t="shared" ca="1" si="8"/>
        <v/>
      </c>
      <c r="BC15" s="30" t="str">
        <f t="shared" ca="1" si="8"/>
        <v/>
      </c>
      <c r="BD15" s="30" t="str">
        <f t="shared" ca="1" si="8"/>
        <v/>
      </c>
      <c r="BE15" s="30" t="str">
        <f t="shared" ca="1" si="9"/>
        <v/>
      </c>
      <c r="BF15" s="30" t="str">
        <f t="shared" ca="1" si="9"/>
        <v/>
      </c>
      <c r="BG15" s="30" t="str">
        <f t="shared" ca="1" si="9"/>
        <v/>
      </c>
      <c r="BH15" s="30" t="str">
        <f t="shared" ca="1" si="9"/>
        <v/>
      </c>
      <c r="BI15" s="30" t="str">
        <f t="shared" ca="1" si="9"/>
        <v/>
      </c>
      <c r="BJ15" s="30" t="str">
        <f t="shared" ca="1" si="9"/>
        <v/>
      </c>
      <c r="BK15" s="30" t="str">
        <f t="shared" ca="1" si="9"/>
        <v/>
      </c>
      <c r="BL15" s="30" t="str">
        <f t="shared" ca="1" si="9"/>
        <v/>
      </c>
    </row>
    <row r="16" spans="1:64" s="1" customFormat="1" ht="30" customHeight="1" x14ac:dyDescent="0.35">
      <c r="A16" s="12"/>
      <c r="B16" s="43" t="s">
        <v>46</v>
      </c>
      <c r="C16" s="27" t="s">
        <v>24</v>
      </c>
      <c r="D16" s="27" t="s">
        <v>40</v>
      </c>
      <c r="E16" s="24">
        <v>0.95</v>
      </c>
      <c r="F16" s="25">
        <f ca="1">F15+7</f>
        <v>45047</v>
      </c>
      <c r="G16" s="26">
        <v>5</v>
      </c>
      <c r="H16" s="20"/>
      <c r="I16" s="30" t="str">
        <f t="shared" ca="1" si="10"/>
        <v/>
      </c>
      <c r="J16" s="30" t="str">
        <f t="shared" ca="1" si="6"/>
        <v/>
      </c>
      <c r="K16" s="30" t="str">
        <f t="shared" ca="1" si="6"/>
        <v/>
      </c>
      <c r="L16" s="30" t="str">
        <f t="shared" ca="1" si="6"/>
        <v/>
      </c>
      <c r="M16" s="30" t="str">
        <f t="shared" ca="1" si="6"/>
        <v/>
      </c>
      <c r="N16" s="30" t="str">
        <f t="shared" ca="1" si="6"/>
        <v/>
      </c>
      <c r="O16" s="30" t="str">
        <f t="shared" ca="1" si="6"/>
        <v/>
      </c>
      <c r="P16" s="30" t="str">
        <f t="shared" ca="1" si="6"/>
        <v/>
      </c>
      <c r="Q16" s="30" t="str">
        <f t="shared" ca="1" si="6"/>
        <v/>
      </c>
      <c r="R16" s="30" t="str">
        <f t="shared" ca="1" si="6"/>
        <v/>
      </c>
      <c r="S16" s="30" t="str">
        <f t="shared" ca="1" si="6"/>
        <v/>
      </c>
      <c r="T16" s="30" t="str">
        <f t="shared" ca="1" si="6"/>
        <v/>
      </c>
      <c r="U16" s="30" t="str">
        <f t="shared" ca="1" si="6"/>
        <v/>
      </c>
      <c r="V16" s="30" t="str">
        <f t="shared" ca="1" si="6"/>
        <v/>
      </c>
      <c r="W16" s="30" t="str">
        <f t="shared" ca="1" si="6"/>
        <v/>
      </c>
      <c r="X16" s="30" t="str">
        <f t="shared" ca="1" si="6"/>
        <v/>
      </c>
      <c r="Y16" s="30" t="str">
        <f t="shared" ca="1" si="7"/>
        <v/>
      </c>
      <c r="Z16" s="30" t="str">
        <f t="shared" ca="1" si="7"/>
        <v/>
      </c>
      <c r="AA16" s="30" t="str">
        <f t="shared" ca="1" si="7"/>
        <v/>
      </c>
      <c r="AB16" s="30" t="str">
        <f t="shared" ca="1" si="7"/>
        <v/>
      </c>
      <c r="AC16" s="30" t="str">
        <f t="shared" ca="1" si="7"/>
        <v/>
      </c>
      <c r="AD16" s="30" t="str">
        <f t="shared" ca="1" si="7"/>
        <v/>
      </c>
      <c r="AE16" s="30" t="str">
        <f t="shared" ca="1" si="7"/>
        <v/>
      </c>
      <c r="AF16" s="30" t="str">
        <f t="shared" ca="1" si="7"/>
        <v/>
      </c>
      <c r="AG16" s="30" t="str">
        <f t="shared" ca="1" si="7"/>
        <v/>
      </c>
      <c r="AH16" s="30" t="str">
        <f t="shared" ca="1" si="7"/>
        <v/>
      </c>
      <c r="AI16" s="30" t="str">
        <f t="shared" ca="1" si="7"/>
        <v/>
      </c>
      <c r="AJ16" s="30" t="str">
        <f t="shared" ca="1" si="7"/>
        <v/>
      </c>
      <c r="AK16" s="30" t="str">
        <f t="shared" ca="1" si="7"/>
        <v/>
      </c>
      <c r="AL16" s="30" t="str">
        <f t="shared" ca="1" si="7"/>
        <v/>
      </c>
      <c r="AM16" s="30" t="str">
        <f t="shared" ca="1" si="7"/>
        <v/>
      </c>
      <c r="AN16" s="30" t="str">
        <f t="shared" ca="1" si="7"/>
        <v/>
      </c>
      <c r="AO16" s="30" t="str">
        <f t="shared" ca="1" si="8"/>
        <v/>
      </c>
      <c r="AP16" s="30" t="str">
        <f t="shared" ca="1" si="8"/>
        <v/>
      </c>
      <c r="AQ16" s="30" t="str">
        <f t="shared" ca="1" si="8"/>
        <v/>
      </c>
      <c r="AR16" s="30" t="str">
        <f t="shared" ca="1" si="8"/>
        <v/>
      </c>
      <c r="AS16" s="30" t="str">
        <f t="shared" ca="1" si="8"/>
        <v/>
      </c>
      <c r="AT16" s="30" t="str">
        <f t="shared" ca="1" si="8"/>
        <v/>
      </c>
      <c r="AU16" s="30" t="str">
        <f t="shared" ca="1" si="8"/>
        <v/>
      </c>
      <c r="AV16" s="30" t="str">
        <f t="shared" ca="1" si="8"/>
        <v/>
      </c>
      <c r="AW16" s="30" t="str">
        <f t="shared" ca="1" si="8"/>
        <v/>
      </c>
      <c r="AX16" s="30" t="str">
        <f t="shared" ca="1" si="8"/>
        <v/>
      </c>
      <c r="AY16" s="30" t="str">
        <f t="shared" ca="1" si="8"/>
        <v/>
      </c>
      <c r="AZ16" s="30" t="str">
        <f t="shared" ca="1" si="8"/>
        <v/>
      </c>
      <c r="BA16" s="30" t="str">
        <f t="shared" ca="1" si="8"/>
        <v/>
      </c>
      <c r="BB16" s="30" t="str">
        <f t="shared" ca="1" si="8"/>
        <v/>
      </c>
      <c r="BC16" s="30" t="str">
        <f t="shared" ca="1" si="8"/>
        <v/>
      </c>
      <c r="BD16" s="30" t="str">
        <f t="shared" ca="1" si="8"/>
        <v/>
      </c>
      <c r="BE16" s="30" t="str">
        <f t="shared" ca="1" si="9"/>
        <v/>
      </c>
      <c r="BF16" s="30" t="str">
        <f t="shared" ca="1" si="9"/>
        <v/>
      </c>
      <c r="BG16" s="30" t="str">
        <f t="shared" ca="1" si="9"/>
        <v/>
      </c>
      <c r="BH16" s="30" t="str">
        <f t="shared" ca="1" si="9"/>
        <v/>
      </c>
      <c r="BI16" s="30" t="str">
        <f t="shared" ca="1" si="9"/>
        <v/>
      </c>
      <c r="BJ16" s="30" t="str">
        <f t="shared" ca="1" si="9"/>
        <v/>
      </c>
      <c r="BK16" s="30" t="str">
        <f t="shared" ca="1" si="9"/>
        <v/>
      </c>
      <c r="BL16" s="30" t="str">
        <f t="shared" ca="1" si="9"/>
        <v/>
      </c>
    </row>
    <row r="17" spans="1:64" s="1" customFormat="1" ht="30" customHeight="1" x14ac:dyDescent="0.35">
      <c r="A17" s="12"/>
      <c r="B17" s="63" t="s">
        <v>48</v>
      </c>
      <c r="C17" s="27"/>
      <c r="D17" s="27"/>
      <c r="E17" s="24"/>
      <c r="F17" s="25"/>
      <c r="G17" s="26"/>
      <c r="H17" s="20"/>
      <c r="I17" s="30"/>
      <c r="J17" s="30"/>
      <c r="K17" s="30"/>
      <c r="L17" s="30"/>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0"/>
      <c r="BG17" s="30"/>
      <c r="BH17" s="30"/>
      <c r="BI17" s="30"/>
      <c r="BJ17" s="30"/>
      <c r="BK17" s="30"/>
      <c r="BL17" s="30"/>
    </row>
    <row r="18" spans="1:64" s="1" customFormat="1" ht="30" customHeight="1" x14ac:dyDescent="0.35">
      <c r="A18" s="12"/>
      <c r="B18" s="43" t="s">
        <v>50</v>
      </c>
      <c r="C18" s="27" t="s">
        <v>24</v>
      </c>
      <c r="D18" s="27" t="s">
        <v>40</v>
      </c>
      <c r="E18" s="24">
        <v>0.5</v>
      </c>
      <c r="F18" s="25">
        <f ca="1">F16+7</f>
        <v>45054</v>
      </c>
      <c r="G18" s="26">
        <v>1</v>
      </c>
      <c r="H18" s="20"/>
      <c r="I18" s="30" t="str">
        <f t="shared" ca="1" si="10"/>
        <v/>
      </c>
      <c r="J18" s="30" t="str">
        <f t="shared" ca="1" si="6"/>
        <v/>
      </c>
      <c r="K18" s="30" t="str">
        <f t="shared" ca="1" si="6"/>
        <v/>
      </c>
      <c r="L18" s="30" t="str">
        <f t="shared" ca="1" si="6"/>
        <v/>
      </c>
      <c r="M18" s="30" t="str">
        <f t="shared" ca="1" si="6"/>
        <v/>
      </c>
      <c r="N18" s="30" t="str">
        <f t="shared" ca="1" si="6"/>
        <v/>
      </c>
      <c r="O18" s="30" t="str">
        <f t="shared" ca="1" si="6"/>
        <v/>
      </c>
      <c r="P18" s="30" t="str">
        <f t="shared" ca="1" si="6"/>
        <v/>
      </c>
      <c r="Q18" s="30" t="str">
        <f t="shared" ca="1" si="6"/>
        <v/>
      </c>
      <c r="R18" s="30" t="str">
        <f t="shared" ca="1" si="6"/>
        <v/>
      </c>
      <c r="S18" s="30" t="str">
        <f t="shared" ca="1" si="6"/>
        <v/>
      </c>
      <c r="T18" s="30" t="str">
        <f t="shared" ca="1" si="6"/>
        <v/>
      </c>
      <c r="U18" s="30" t="str">
        <f t="shared" ca="1" si="6"/>
        <v/>
      </c>
      <c r="V18" s="30" t="str">
        <f t="shared" ca="1" si="6"/>
        <v/>
      </c>
      <c r="W18" s="30" t="str">
        <f t="shared" ca="1" si="6"/>
        <v/>
      </c>
      <c r="X18" s="30" t="str">
        <f t="shared" ca="1" si="6"/>
        <v/>
      </c>
      <c r="Y18" s="30" t="str">
        <f t="shared" ca="1" si="7"/>
        <v/>
      </c>
      <c r="Z18" s="30" t="str">
        <f t="shared" ca="1" si="7"/>
        <v/>
      </c>
      <c r="AA18" s="30" t="str">
        <f t="shared" ca="1" si="7"/>
        <v/>
      </c>
      <c r="AB18" s="30" t="str">
        <f t="shared" ca="1" si="7"/>
        <v/>
      </c>
      <c r="AC18" s="30" t="str">
        <f t="shared" ca="1" si="7"/>
        <v/>
      </c>
      <c r="AD18" s="30" t="str">
        <f t="shared" ca="1" si="7"/>
        <v/>
      </c>
      <c r="AE18" s="30" t="str">
        <f t="shared" ca="1" si="7"/>
        <v/>
      </c>
      <c r="AF18" s="30" t="str">
        <f t="shared" ca="1" si="7"/>
        <v/>
      </c>
      <c r="AG18" s="30" t="str">
        <f t="shared" ca="1" si="7"/>
        <v/>
      </c>
      <c r="AH18" s="30" t="str">
        <f t="shared" ca="1" si="7"/>
        <v/>
      </c>
      <c r="AI18" s="30" t="str">
        <f t="shared" ca="1" si="7"/>
        <v/>
      </c>
      <c r="AJ18" s="30" t="str">
        <f t="shared" ca="1" si="7"/>
        <v/>
      </c>
      <c r="AK18" s="30" t="str">
        <f t="shared" ca="1" si="7"/>
        <v/>
      </c>
      <c r="AL18" s="30" t="str">
        <f t="shared" ca="1" si="7"/>
        <v/>
      </c>
      <c r="AM18" s="30" t="str">
        <f t="shared" ca="1" si="7"/>
        <v/>
      </c>
      <c r="AN18" s="30" t="str">
        <f t="shared" ca="1" si="7"/>
        <v/>
      </c>
      <c r="AO18" s="30" t="str">
        <f t="shared" ca="1" si="8"/>
        <v/>
      </c>
      <c r="AP18" s="30" t="str">
        <f t="shared" ca="1" si="8"/>
        <v/>
      </c>
      <c r="AQ18" s="30" t="str">
        <f t="shared" ca="1" si="8"/>
        <v/>
      </c>
      <c r="AR18" s="30" t="str">
        <f t="shared" ca="1" si="8"/>
        <v/>
      </c>
      <c r="AS18" s="30" t="str">
        <f t="shared" ca="1" si="8"/>
        <v/>
      </c>
      <c r="AT18" s="30" t="str">
        <f t="shared" ca="1" si="8"/>
        <v/>
      </c>
      <c r="AU18" s="30" t="str">
        <f t="shared" ca="1" si="8"/>
        <v/>
      </c>
      <c r="AV18" s="30" t="str">
        <f t="shared" ca="1" si="8"/>
        <v/>
      </c>
      <c r="AW18" s="30" t="str">
        <f t="shared" ca="1" si="8"/>
        <v/>
      </c>
      <c r="AX18" s="30" t="str">
        <f t="shared" ca="1" si="8"/>
        <v/>
      </c>
      <c r="AY18" s="30" t="str">
        <f t="shared" ca="1" si="8"/>
        <v/>
      </c>
      <c r="AZ18" s="30" t="str">
        <f t="shared" ca="1" si="8"/>
        <v/>
      </c>
      <c r="BA18" s="30" t="str">
        <f t="shared" ca="1" si="8"/>
        <v/>
      </c>
      <c r="BB18" s="30" t="str">
        <f t="shared" ca="1" si="8"/>
        <v/>
      </c>
      <c r="BC18" s="30" t="str">
        <f t="shared" ca="1" si="8"/>
        <v/>
      </c>
      <c r="BD18" s="30" t="str">
        <f t="shared" ca="1" si="8"/>
        <v/>
      </c>
      <c r="BE18" s="30" t="str">
        <f t="shared" ca="1" si="9"/>
        <v/>
      </c>
      <c r="BF18" s="30" t="str">
        <f t="shared" ca="1" si="9"/>
        <v/>
      </c>
      <c r="BG18" s="30" t="str">
        <f t="shared" ca="1" si="9"/>
        <v/>
      </c>
      <c r="BH18" s="30" t="str">
        <f t="shared" ca="1" si="9"/>
        <v/>
      </c>
      <c r="BI18" s="30" t="str">
        <f t="shared" ca="1" si="9"/>
        <v/>
      </c>
      <c r="BJ18" s="30" t="str">
        <f t="shared" ca="1" si="9"/>
        <v/>
      </c>
      <c r="BK18" s="30" t="str">
        <f t="shared" ca="1" si="9"/>
        <v/>
      </c>
      <c r="BL18" s="30" t="str">
        <f t="shared" ca="1" si="9"/>
        <v/>
      </c>
    </row>
    <row r="19" spans="1:64" s="1" customFormat="1" ht="30" customHeight="1" x14ac:dyDescent="0.35">
      <c r="A19" s="12"/>
      <c r="B19" s="43" t="s">
        <v>15</v>
      </c>
      <c r="C19" s="27"/>
      <c r="D19" s="27" t="s">
        <v>40</v>
      </c>
      <c r="E19" s="24">
        <v>0.95</v>
      </c>
      <c r="F19" s="25">
        <f t="shared" ref="F19:F20" ca="1" si="12">F18+7</f>
        <v>45061</v>
      </c>
      <c r="G19" s="26">
        <v>4</v>
      </c>
      <c r="H19" s="20"/>
      <c r="I19" s="30" t="str">
        <f t="shared" ca="1" si="10"/>
        <v/>
      </c>
      <c r="J19" s="30" t="str">
        <f t="shared" ca="1" si="6"/>
        <v/>
      </c>
      <c r="K19" s="30" t="str">
        <f t="shared" ca="1" si="6"/>
        <v/>
      </c>
      <c r="L19" s="30" t="str">
        <f t="shared" ca="1" si="6"/>
        <v/>
      </c>
      <c r="M19" s="30" t="str">
        <f t="shared" ca="1" si="6"/>
        <v/>
      </c>
      <c r="N19" s="30" t="str">
        <f t="shared" ca="1" si="6"/>
        <v/>
      </c>
      <c r="O19" s="30" t="str">
        <f t="shared" ca="1" si="6"/>
        <v/>
      </c>
      <c r="P19" s="30" t="str">
        <f t="shared" ca="1" si="6"/>
        <v/>
      </c>
      <c r="Q19" s="30" t="str">
        <f t="shared" ca="1" si="6"/>
        <v/>
      </c>
      <c r="R19" s="30" t="str">
        <f t="shared" ca="1" si="6"/>
        <v/>
      </c>
      <c r="S19" s="30" t="str">
        <f t="shared" ca="1" si="6"/>
        <v/>
      </c>
      <c r="T19" s="30" t="str">
        <f t="shared" ca="1" si="6"/>
        <v/>
      </c>
      <c r="U19" s="30" t="str">
        <f t="shared" ca="1" si="6"/>
        <v/>
      </c>
      <c r="V19" s="30" t="str">
        <f t="shared" ca="1" si="6"/>
        <v/>
      </c>
      <c r="W19" s="30" t="str">
        <f t="shared" ca="1" si="6"/>
        <v/>
      </c>
      <c r="X19" s="30" t="str">
        <f t="shared" ca="1" si="6"/>
        <v/>
      </c>
      <c r="Y19" s="30" t="str">
        <f t="shared" ca="1" si="7"/>
        <v/>
      </c>
      <c r="Z19" s="30" t="str">
        <f t="shared" ca="1" si="7"/>
        <v/>
      </c>
      <c r="AA19" s="30" t="str">
        <f t="shared" ca="1" si="7"/>
        <v/>
      </c>
      <c r="AB19" s="30" t="str">
        <f t="shared" ca="1" si="7"/>
        <v/>
      </c>
      <c r="AC19" s="30" t="str">
        <f t="shared" ca="1" si="7"/>
        <v/>
      </c>
      <c r="AD19" s="30" t="str">
        <f t="shared" ca="1" si="7"/>
        <v/>
      </c>
      <c r="AE19" s="30" t="str">
        <f t="shared" ca="1" si="7"/>
        <v/>
      </c>
      <c r="AF19" s="30" t="str">
        <f t="shared" ca="1" si="7"/>
        <v/>
      </c>
      <c r="AG19" s="30" t="str">
        <f t="shared" ca="1" si="7"/>
        <v/>
      </c>
      <c r="AH19" s="30" t="str">
        <f t="shared" ca="1" si="7"/>
        <v/>
      </c>
      <c r="AI19" s="30" t="str">
        <f t="shared" ca="1" si="7"/>
        <v/>
      </c>
      <c r="AJ19" s="30" t="str">
        <f t="shared" ca="1" si="7"/>
        <v/>
      </c>
      <c r="AK19" s="30" t="str">
        <f t="shared" ca="1" si="7"/>
        <v/>
      </c>
      <c r="AL19" s="30" t="str">
        <f t="shared" ca="1" si="7"/>
        <v/>
      </c>
      <c r="AM19" s="30" t="str">
        <f t="shared" ca="1" si="7"/>
        <v/>
      </c>
      <c r="AN19" s="30" t="str">
        <f t="shared" ca="1" si="7"/>
        <v/>
      </c>
      <c r="AO19" s="30" t="str">
        <f t="shared" ca="1" si="8"/>
        <v/>
      </c>
      <c r="AP19" s="30" t="str">
        <f t="shared" ca="1" si="8"/>
        <v/>
      </c>
      <c r="AQ19" s="30" t="str">
        <f t="shared" ca="1" si="8"/>
        <v/>
      </c>
      <c r="AR19" s="30" t="str">
        <f t="shared" ca="1" si="8"/>
        <v/>
      </c>
      <c r="AS19" s="30" t="str">
        <f t="shared" ca="1" si="8"/>
        <v/>
      </c>
      <c r="AT19" s="30" t="str">
        <f t="shared" ca="1" si="8"/>
        <v/>
      </c>
      <c r="AU19" s="30" t="str">
        <f t="shared" ca="1" si="8"/>
        <v/>
      </c>
      <c r="AV19" s="30" t="str">
        <f t="shared" ca="1" si="8"/>
        <v/>
      </c>
      <c r="AW19" s="30" t="str">
        <f t="shared" ca="1" si="8"/>
        <v/>
      </c>
      <c r="AX19" s="30" t="str">
        <f t="shared" ca="1" si="8"/>
        <v/>
      </c>
      <c r="AY19" s="30" t="str">
        <f t="shared" ca="1" si="8"/>
        <v/>
      </c>
      <c r="AZ19" s="30" t="str">
        <f t="shared" ca="1" si="8"/>
        <v/>
      </c>
      <c r="BA19" s="30" t="str">
        <f t="shared" ca="1" si="8"/>
        <v/>
      </c>
      <c r="BB19" s="30" t="str">
        <f t="shared" ca="1" si="8"/>
        <v/>
      </c>
      <c r="BC19" s="30" t="str">
        <f t="shared" ca="1" si="8"/>
        <v/>
      </c>
      <c r="BD19" s="30" t="str">
        <f t="shared" ca="1" si="8"/>
        <v/>
      </c>
      <c r="BE19" s="30" t="str">
        <f t="shared" ca="1" si="9"/>
        <v/>
      </c>
      <c r="BF19" s="30" t="str">
        <f t="shared" ca="1" si="9"/>
        <v/>
      </c>
      <c r="BG19" s="30" t="str">
        <f t="shared" ca="1" si="9"/>
        <v/>
      </c>
      <c r="BH19" s="30" t="str">
        <f t="shared" ca="1" si="9"/>
        <v/>
      </c>
      <c r="BI19" s="30" t="str">
        <f t="shared" ca="1" si="9"/>
        <v/>
      </c>
      <c r="BJ19" s="30" t="str">
        <f t="shared" ca="1" si="9"/>
        <v/>
      </c>
      <c r="BK19" s="30" t="str">
        <f t="shared" ca="1" si="9"/>
        <v/>
      </c>
      <c r="BL19" s="30" t="str">
        <f t="shared" ca="1" si="9"/>
        <v/>
      </c>
    </row>
    <row r="20" spans="1:64" s="1" customFormat="1" ht="30" customHeight="1" x14ac:dyDescent="0.35">
      <c r="A20" s="12"/>
      <c r="B20" s="44" t="s">
        <v>51</v>
      </c>
      <c r="C20" s="27" t="s">
        <v>24</v>
      </c>
      <c r="D20" s="27" t="s">
        <v>40</v>
      </c>
      <c r="E20" s="24">
        <v>1</v>
      </c>
      <c r="F20" s="25">
        <f t="shared" ca="1" si="12"/>
        <v>45068</v>
      </c>
      <c r="G20" s="26">
        <v>1</v>
      </c>
      <c r="H20" s="20"/>
      <c r="I20" s="30" t="str">
        <f t="shared" ca="1" si="10"/>
        <v/>
      </c>
      <c r="J20" s="30" t="str">
        <f t="shared" ca="1" si="6"/>
        <v/>
      </c>
      <c r="K20" s="30" t="str">
        <f t="shared" ca="1" si="6"/>
        <v/>
      </c>
      <c r="L20" s="30" t="str">
        <f t="shared" ca="1" si="6"/>
        <v/>
      </c>
      <c r="M20" s="30" t="str">
        <f t="shared" ca="1" si="6"/>
        <v/>
      </c>
      <c r="N20" s="30" t="str">
        <f t="shared" ca="1" si="6"/>
        <v/>
      </c>
      <c r="O20" s="30" t="str">
        <f t="shared" ca="1" si="6"/>
        <v/>
      </c>
      <c r="P20" s="30" t="str">
        <f t="shared" ca="1" si="6"/>
        <v/>
      </c>
      <c r="Q20" s="30" t="str">
        <f t="shared" ca="1" si="6"/>
        <v/>
      </c>
      <c r="R20" s="30" t="str">
        <f t="shared" ca="1" si="6"/>
        <v/>
      </c>
      <c r="S20" s="30" t="str">
        <f t="shared" ca="1" si="6"/>
        <v/>
      </c>
      <c r="T20" s="30" t="str">
        <f t="shared" ca="1" si="6"/>
        <v/>
      </c>
      <c r="U20" s="30" t="str">
        <f t="shared" ca="1" si="6"/>
        <v/>
      </c>
      <c r="V20" s="30" t="str">
        <f t="shared" ca="1" si="6"/>
        <v/>
      </c>
      <c r="W20" s="30" t="str">
        <f t="shared" ca="1" si="6"/>
        <v/>
      </c>
      <c r="X20" s="30" t="str">
        <f t="shared" ca="1" si="6"/>
        <v/>
      </c>
      <c r="Y20" s="30" t="str">
        <f t="shared" ca="1" si="7"/>
        <v/>
      </c>
      <c r="Z20" s="30" t="str">
        <f t="shared" ca="1" si="7"/>
        <v/>
      </c>
      <c r="AA20" s="30" t="str">
        <f t="shared" ca="1" si="7"/>
        <v/>
      </c>
      <c r="AB20" s="30" t="str">
        <f t="shared" ca="1" si="7"/>
        <v/>
      </c>
      <c r="AC20" s="30" t="str">
        <f t="shared" ca="1" si="7"/>
        <v/>
      </c>
      <c r="AD20" s="30" t="str">
        <f t="shared" ca="1" si="7"/>
        <v/>
      </c>
      <c r="AE20" s="30" t="str">
        <f t="shared" ca="1" si="7"/>
        <v/>
      </c>
      <c r="AF20" s="30" t="str">
        <f t="shared" ca="1" si="7"/>
        <v/>
      </c>
      <c r="AG20" s="30" t="str">
        <f t="shared" ca="1" si="7"/>
        <v/>
      </c>
      <c r="AH20" s="30" t="str">
        <f t="shared" ca="1" si="7"/>
        <v/>
      </c>
      <c r="AI20" s="30" t="str">
        <f t="shared" ca="1" si="7"/>
        <v/>
      </c>
      <c r="AJ20" s="30" t="str">
        <f t="shared" ca="1" si="7"/>
        <v/>
      </c>
      <c r="AK20" s="30" t="str">
        <f t="shared" ca="1" si="7"/>
        <v/>
      </c>
      <c r="AL20" s="30" t="str">
        <f t="shared" ca="1" si="7"/>
        <v/>
      </c>
      <c r="AM20" s="30" t="str">
        <f t="shared" ca="1" si="7"/>
        <v/>
      </c>
      <c r="AN20" s="30" t="str">
        <f t="shared" ca="1" si="7"/>
        <v/>
      </c>
      <c r="AO20" s="30" t="str">
        <f t="shared" ca="1" si="8"/>
        <v/>
      </c>
      <c r="AP20" s="30" t="str">
        <f t="shared" ca="1" si="8"/>
        <v/>
      </c>
      <c r="AQ20" s="30" t="str">
        <f t="shared" ca="1" si="8"/>
        <v/>
      </c>
      <c r="AR20" s="30" t="str">
        <f t="shared" ca="1" si="8"/>
        <v/>
      </c>
      <c r="AS20" s="30" t="str">
        <f t="shared" ca="1" si="8"/>
        <v/>
      </c>
      <c r="AT20" s="30" t="str">
        <f t="shared" ca="1" si="8"/>
        <v/>
      </c>
      <c r="AU20" s="30" t="str">
        <f t="shared" ca="1" si="8"/>
        <v/>
      </c>
      <c r="AV20" s="30" t="str">
        <f t="shared" ca="1" si="8"/>
        <v/>
      </c>
      <c r="AW20" s="30" t="str">
        <f t="shared" ca="1" si="8"/>
        <v/>
      </c>
      <c r="AX20" s="30" t="str">
        <f t="shared" ca="1" si="8"/>
        <v/>
      </c>
      <c r="AY20" s="30" t="str">
        <f t="shared" ca="1" si="8"/>
        <v/>
      </c>
      <c r="AZ20" s="30" t="str">
        <f t="shared" ca="1" si="8"/>
        <v/>
      </c>
      <c r="BA20" s="30" t="str">
        <f t="shared" ca="1" si="8"/>
        <v/>
      </c>
      <c r="BB20" s="30" t="str">
        <f t="shared" ca="1" si="8"/>
        <v/>
      </c>
      <c r="BC20" s="30" t="str">
        <f t="shared" ca="1" si="8"/>
        <v/>
      </c>
      <c r="BD20" s="30" t="str">
        <f t="shared" ca="1" si="8"/>
        <v/>
      </c>
      <c r="BE20" s="30" t="str">
        <f t="shared" ca="1" si="9"/>
        <v/>
      </c>
      <c r="BF20" s="30" t="str">
        <f t="shared" ca="1" si="9"/>
        <v/>
      </c>
      <c r="BG20" s="30" t="str">
        <f t="shared" ca="1" si="9"/>
        <v/>
      </c>
      <c r="BH20" s="30" t="str">
        <f t="shared" ca="1" si="9"/>
        <v/>
      </c>
      <c r="BI20" s="30" t="str">
        <f t="shared" ca="1" si="9"/>
        <v/>
      </c>
      <c r="BJ20" s="30" t="str">
        <f t="shared" ca="1" si="9"/>
        <v/>
      </c>
      <c r="BK20" s="30" t="str">
        <f t="shared" ca="1" si="9"/>
        <v/>
      </c>
      <c r="BL20" s="30" t="str">
        <f t="shared" ca="1" si="9"/>
        <v/>
      </c>
    </row>
    <row r="21" spans="1:64" s="1" customFormat="1" ht="30" customHeight="1" x14ac:dyDescent="0.35">
      <c r="A21" s="12"/>
      <c r="B21" s="63" t="s">
        <v>52</v>
      </c>
      <c r="C21" s="27"/>
      <c r="D21" s="27"/>
      <c r="E21" s="24"/>
      <c r="F21" s="25"/>
      <c r="G21" s="26"/>
      <c r="H21" s="20"/>
      <c r="I21" s="30"/>
      <c r="J21" s="30"/>
      <c r="K21" s="30"/>
      <c r="L21" s="30"/>
      <c r="M21" s="30"/>
      <c r="N21" s="30"/>
      <c r="O21" s="30"/>
      <c r="P21" s="30"/>
      <c r="Q21" s="30"/>
      <c r="R21" s="30"/>
      <c r="S21" s="30"/>
      <c r="T21" s="30"/>
      <c r="U21" s="30"/>
      <c r="V21" s="30"/>
      <c r="W21" s="30"/>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0"/>
      <c r="BH21" s="30"/>
      <c r="BI21" s="30"/>
      <c r="BJ21" s="30"/>
      <c r="BK21" s="30"/>
      <c r="BL21" s="30"/>
    </row>
    <row r="22" spans="1:64" s="1" customFormat="1" ht="30" customHeight="1" x14ac:dyDescent="0.35">
      <c r="A22" s="12"/>
      <c r="B22" s="43" t="s">
        <v>16</v>
      </c>
      <c r="C22" s="27" t="s">
        <v>22</v>
      </c>
      <c r="D22" s="27" t="s">
        <v>40</v>
      </c>
      <c r="E22" s="24">
        <v>0.89</v>
      </c>
      <c r="F22" s="25">
        <f ca="1">F20+7</f>
        <v>45075</v>
      </c>
      <c r="G22" s="26">
        <v>6</v>
      </c>
      <c r="H22" s="20"/>
      <c r="I22" s="30" t="str">
        <f t="shared" ca="1" si="10"/>
        <v/>
      </c>
      <c r="J22" s="30" t="str">
        <f t="shared" ca="1" si="6"/>
        <v/>
      </c>
      <c r="K22" s="30" t="str">
        <f t="shared" ca="1" si="6"/>
        <v/>
      </c>
      <c r="L22" s="30" t="str">
        <f t="shared" ca="1" si="6"/>
        <v/>
      </c>
      <c r="M22" s="30" t="str">
        <f t="shared" ca="1" si="6"/>
        <v/>
      </c>
      <c r="N22" s="30" t="str">
        <f t="shared" ca="1" si="6"/>
        <v/>
      </c>
      <c r="O22" s="30" t="str">
        <f t="shared" ca="1" si="6"/>
        <v/>
      </c>
      <c r="P22" s="30" t="str">
        <f t="shared" ca="1" si="6"/>
        <v/>
      </c>
      <c r="Q22" s="30" t="str">
        <f t="shared" ca="1" si="6"/>
        <v/>
      </c>
      <c r="R22" s="30" t="str">
        <f t="shared" ca="1" si="6"/>
        <v/>
      </c>
      <c r="S22" s="30" t="str">
        <f t="shared" ca="1" si="6"/>
        <v/>
      </c>
      <c r="T22" s="30" t="str">
        <f t="shared" ca="1" si="6"/>
        <v/>
      </c>
      <c r="U22" s="30" t="str">
        <f t="shared" ca="1" si="6"/>
        <v/>
      </c>
      <c r="V22" s="30" t="str">
        <f t="shared" ca="1" si="6"/>
        <v/>
      </c>
      <c r="W22" s="30" t="str">
        <f t="shared" ca="1" si="6"/>
        <v/>
      </c>
      <c r="X22" s="30" t="str">
        <f t="shared" ca="1" si="6"/>
        <v/>
      </c>
      <c r="Y22" s="30" t="str">
        <f t="shared" ca="1" si="7"/>
        <v/>
      </c>
      <c r="Z22" s="30" t="str">
        <f t="shared" ca="1" si="7"/>
        <v/>
      </c>
      <c r="AA22" s="30" t="str">
        <f t="shared" ca="1" si="7"/>
        <v/>
      </c>
      <c r="AB22" s="30" t="str">
        <f t="shared" ca="1" si="7"/>
        <v/>
      </c>
      <c r="AC22" s="30" t="str">
        <f t="shared" ca="1" si="7"/>
        <v/>
      </c>
      <c r="AD22" s="30" t="str">
        <f t="shared" ca="1" si="7"/>
        <v/>
      </c>
      <c r="AE22" s="30" t="str">
        <f t="shared" ca="1" si="7"/>
        <v/>
      </c>
      <c r="AF22" s="30" t="str">
        <f t="shared" ca="1" si="7"/>
        <v/>
      </c>
      <c r="AG22" s="30" t="str">
        <f t="shared" ca="1" si="7"/>
        <v/>
      </c>
      <c r="AH22" s="30" t="str">
        <f t="shared" ca="1" si="7"/>
        <v/>
      </c>
      <c r="AI22" s="30" t="str">
        <f t="shared" ca="1" si="7"/>
        <v/>
      </c>
      <c r="AJ22" s="30" t="str">
        <f t="shared" ca="1" si="7"/>
        <v/>
      </c>
      <c r="AK22" s="30" t="str">
        <f t="shared" ca="1" si="7"/>
        <v/>
      </c>
      <c r="AL22" s="30" t="str">
        <f t="shared" ca="1" si="7"/>
        <v/>
      </c>
      <c r="AM22" s="30" t="str">
        <f t="shared" ca="1" si="7"/>
        <v/>
      </c>
      <c r="AN22" s="30" t="str">
        <f t="shared" ca="1" si="7"/>
        <v/>
      </c>
      <c r="AO22" s="30" t="str">
        <f t="shared" ca="1" si="8"/>
        <v/>
      </c>
      <c r="AP22" s="30" t="str">
        <f t="shared" ca="1" si="8"/>
        <v/>
      </c>
      <c r="AQ22" s="30" t="str">
        <f t="shared" ca="1" si="8"/>
        <v/>
      </c>
      <c r="AR22" s="30" t="str">
        <f t="shared" ca="1" si="8"/>
        <v/>
      </c>
      <c r="AS22" s="30" t="str">
        <f t="shared" ca="1" si="8"/>
        <v/>
      </c>
      <c r="AT22" s="30" t="str">
        <f t="shared" ca="1" si="8"/>
        <v/>
      </c>
      <c r="AU22" s="30" t="str">
        <f t="shared" ca="1" si="8"/>
        <v/>
      </c>
      <c r="AV22" s="30" t="str">
        <f t="shared" ca="1" si="8"/>
        <v/>
      </c>
      <c r="AW22" s="30" t="str">
        <f t="shared" ca="1" si="8"/>
        <v/>
      </c>
      <c r="AX22" s="30" t="str">
        <f t="shared" ca="1" si="8"/>
        <v/>
      </c>
      <c r="AY22" s="30" t="str">
        <f t="shared" ca="1" si="8"/>
        <v/>
      </c>
      <c r="AZ22" s="30" t="str">
        <f t="shared" ca="1" si="8"/>
        <v/>
      </c>
      <c r="BA22" s="30" t="str">
        <f t="shared" ca="1" si="8"/>
        <v/>
      </c>
      <c r="BB22" s="30" t="str">
        <f t="shared" ca="1" si="8"/>
        <v/>
      </c>
      <c r="BC22" s="30" t="str">
        <f t="shared" ca="1" si="8"/>
        <v/>
      </c>
      <c r="BD22" s="30" t="str">
        <f t="shared" ca="1" si="8"/>
        <v/>
      </c>
      <c r="BE22" s="30" t="str">
        <f t="shared" ca="1" si="9"/>
        <v/>
      </c>
      <c r="BF22" s="30" t="str">
        <f t="shared" ca="1" si="9"/>
        <v/>
      </c>
      <c r="BG22" s="30" t="str">
        <f t="shared" ca="1" si="9"/>
        <v/>
      </c>
      <c r="BH22" s="30" t="str">
        <f t="shared" ca="1" si="9"/>
        <v/>
      </c>
      <c r="BI22" s="30" t="str">
        <f t="shared" ca="1" si="9"/>
        <v/>
      </c>
      <c r="BJ22" s="30" t="str">
        <f t="shared" ca="1" si="9"/>
        <v/>
      </c>
      <c r="BK22" s="30" t="str">
        <f t="shared" ca="1" si="9"/>
        <v/>
      </c>
      <c r="BL22" s="30" t="str">
        <f t="shared" ca="1" si="9"/>
        <v/>
      </c>
    </row>
    <row r="23" spans="1:64" s="1" customFormat="1" ht="30" customHeight="1" x14ac:dyDescent="0.35">
      <c r="A23" s="12"/>
      <c r="B23" s="43" t="s">
        <v>53</v>
      </c>
      <c r="C23" s="27" t="s">
        <v>24</v>
      </c>
      <c r="D23" s="27" t="s">
        <v>40</v>
      </c>
      <c r="E23" s="24">
        <v>1</v>
      </c>
      <c r="F23" s="25">
        <f t="shared" ref="F23" ca="1" si="13">F22+7</f>
        <v>45082</v>
      </c>
      <c r="G23" s="26">
        <v>1</v>
      </c>
      <c r="H23" s="20"/>
      <c r="I23" s="30" t="str">
        <f t="shared" ca="1" si="10"/>
        <v/>
      </c>
      <c r="J23" s="30" t="str">
        <f t="shared" ca="1" si="6"/>
        <v/>
      </c>
      <c r="K23" s="30" t="str">
        <f t="shared" ca="1" si="6"/>
        <v/>
      </c>
      <c r="L23" s="30" t="str">
        <f t="shared" ca="1" si="6"/>
        <v/>
      </c>
      <c r="M23" s="30" t="str">
        <f t="shared" ca="1" si="6"/>
        <v/>
      </c>
      <c r="N23" s="30" t="str">
        <f t="shared" ca="1" si="6"/>
        <v/>
      </c>
      <c r="O23" s="30" t="str">
        <f t="shared" ca="1" si="6"/>
        <v/>
      </c>
      <c r="P23" s="30" t="str">
        <f t="shared" ca="1" si="6"/>
        <v/>
      </c>
      <c r="Q23" s="30" t="str">
        <f t="shared" ca="1" si="6"/>
        <v/>
      </c>
      <c r="R23" s="30" t="str">
        <f t="shared" ca="1" si="6"/>
        <v/>
      </c>
      <c r="S23" s="30" t="str">
        <f t="shared" ca="1" si="6"/>
        <v/>
      </c>
      <c r="T23" s="30" t="str">
        <f t="shared" ca="1" si="6"/>
        <v/>
      </c>
      <c r="U23" s="30" t="str">
        <f t="shared" ca="1" si="6"/>
        <v/>
      </c>
      <c r="V23" s="30" t="str">
        <f t="shared" ca="1" si="6"/>
        <v/>
      </c>
      <c r="W23" s="30" t="str">
        <f t="shared" ca="1" si="6"/>
        <v/>
      </c>
      <c r="X23" s="30" t="str">
        <f t="shared" ca="1" si="6"/>
        <v/>
      </c>
      <c r="Y23" s="30" t="str">
        <f t="shared" ca="1" si="7"/>
        <v/>
      </c>
      <c r="Z23" s="30" t="str">
        <f t="shared" ca="1" si="7"/>
        <v/>
      </c>
      <c r="AA23" s="30" t="str">
        <f t="shared" ca="1" si="7"/>
        <v/>
      </c>
      <c r="AB23" s="30" t="str">
        <f t="shared" ca="1" si="7"/>
        <v/>
      </c>
      <c r="AC23" s="30" t="str">
        <f t="shared" ca="1" si="7"/>
        <v/>
      </c>
      <c r="AD23" s="30" t="str">
        <f t="shared" ca="1" si="7"/>
        <v/>
      </c>
      <c r="AE23" s="30" t="str">
        <f t="shared" ca="1" si="7"/>
        <v/>
      </c>
      <c r="AF23" s="30" t="str">
        <f t="shared" ca="1" si="7"/>
        <v/>
      </c>
      <c r="AG23" s="30" t="str">
        <f t="shared" ca="1" si="7"/>
        <v/>
      </c>
      <c r="AH23" s="30" t="str">
        <f t="shared" ca="1" si="7"/>
        <v/>
      </c>
      <c r="AI23" s="30" t="str">
        <f t="shared" ca="1" si="7"/>
        <v/>
      </c>
      <c r="AJ23" s="30" t="str">
        <f t="shared" ca="1" si="7"/>
        <v/>
      </c>
      <c r="AK23" s="30" t="str">
        <f t="shared" ca="1" si="7"/>
        <v/>
      </c>
      <c r="AL23" s="30" t="str">
        <f t="shared" ca="1" si="7"/>
        <v/>
      </c>
      <c r="AM23" s="30" t="str">
        <f t="shared" ca="1" si="7"/>
        <v/>
      </c>
      <c r="AN23" s="30" t="str">
        <f t="shared" ref="AN23:BC31" ca="1" si="14">IF(AND($C23="Objetivo",AN$5&gt;=$F23,AN$5&lt;=$F23+$G23-1),2,IF(AND($C23="Hito",AN$5&gt;=$F23,AN$5&lt;=$F23+$G23-1),1,""))</f>
        <v/>
      </c>
      <c r="AO23" s="30" t="str">
        <f t="shared" ca="1" si="8"/>
        <v/>
      </c>
      <c r="AP23" s="30" t="str">
        <f t="shared" ca="1" si="8"/>
        <v/>
      </c>
      <c r="AQ23" s="30" t="str">
        <f t="shared" ca="1" si="8"/>
        <v/>
      </c>
      <c r="AR23" s="30" t="str">
        <f t="shared" ca="1" si="8"/>
        <v/>
      </c>
      <c r="AS23" s="30" t="str">
        <f t="shared" ca="1" si="8"/>
        <v/>
      </c>
      <c r="AT23" s="30" t="str">
        <f t="shared" ca="1" si="8"/>
        <v/>
      </c>
      <c r="AU23" s="30" t="str">
        <f t="shared" ca="1" si="8"/>
        <v/>
      </c>
      <c r="AV23" s="30" t="str">
        <f t="shared" ca="1" si="8"/>
        <v/>
      </c>
      <c r="AW23" s="30" t="str">
        <f t="shared" ca="1" si="8"/>
        <v/>
      </c>
      <c r="AX23" s="30" t="str">
        <f t="shared" ca="1" si="8"/>
        <v/>
      </c>
      <c r="AY23" s="30" t="str">
        <f t="shared" ca="1" si="8"/>
        <v/>
      </c>
      <c r="AZ23" s="30" t="str">
        <f t="shared" ca="1" si="8"/>
        <v/>
      </c>
      <c r="BA23" s="30" t="str">
        <f t="shared" ca="1" si="8"/>
        <v/>
      </c>
      <c r="BB23" s="30" t="str">
        <f t="shared" ca="1" si="8"/>
        <v/>
      </c>
      <c r="BC23" s="30" t="str">
        <f t="shared" ca="1" si="8"/>
        <v/>
      </c>
      <c r="BD23" s="30" t="str">
        <f t="shared" ref="BD23:BL31" ca="1" si="15">IF(AND($C23="Objetivo",BD$5&gt;=$F23,BD$5&lt;=$F23+$G23-1),2,IF(AND($C23="Hito",BD$5&gt;=$F23,BD$5&lt;=$F23+$G23-1),1,""))</f>
        <v/>
      </c>
      <c r="BE23" s="30" t="str">
        <f t="shared" ca="1" si="9"/>
        <v/>
      </c>
      <c r="BF23" s="30" t="str">
        <f t="shared" ca="1" si="9"/>
        <v/>
      </c>
      <c r="BG23" s="30" t="str">
        <f t="shared" ca="1" si="9"/>
        <v/>
      </c>
      <c r="BH23" s="30" t="str">
        <f t="shared" ca="1" si="9"/>
        <v/>
      </c>
      <c r="BI23" s="30" t="str">
        <f t="shared" ca="1" si="9"/>
        <v/>
      </c>
      <c r="BJ23" s="30" t="str">
        <f t="shared" ca="1" si="9"/>
        <v/>
      </c>
      <c r="BK23" s="30" t="str">
        <f t="shared" ca="1" si="9"/>
        <v/>
      </c>
      <c r="BL23" s="30" t="str">
        <f t="shared" ca="1" si="9"/>
        <v/>
      </c>
    </row>
    <row r="24" spans="1:64" s="1" customFormat="1" ht="30" customHeight="1" x14ac:dyDescent="0.35">
      <c r="A24" s="12"/>
      <c r="B24" s="63" t="s">
        <v>54</v>
      </c>
      <c r="C24" s="27"/>
      <c r="D24" s="27"/>
      <c r="E24" s="24"/>
      <c r="F24" s="25"/>
      <c r="G24" s="26"/>
      <c r="H24" s="20"/>
      <c r="I24" s="30" t="str">
        <f t="shared" ca="1" si="10"/>
        <v/>
      </c>
      <c r="J24" s="30" t="str">
        <f t="shared" ca="1" si="10"/>
        <v/>
      </c>
      <c r="K24" s="30" t="str">
        <f t="shared" ca="1" si="10"/>
        <v/>
      </c>
      <c r="L24" s="30" t="str">
        <f t="shared" ca="1" si="10"/>
        <v/>
      </c>
      <c r="M24" s="30" t="str">
        <f t="shared" ca="1" si="10"/>
        <v/>
      </c>
      <c r="N24" s="30" t="str">
        <f t="shared" ca="1" si="10"/>
        <v/>
      </c>
      <c r="O24" s="30" t="str">
        <f t="shared" ca="1" si="10"/>
        <v/>
      </c>
      <c r="P24" s="30" t="str">
        <f t="shared" ca="1" si="10"/>
        <v/>
      </c>
      <c r="Q24" s="30" t="str">
        <f t="shared" ca="1" si="10"/>
        <v/>
      </c>
      <c r="R24" s="30" t="str">
        <f t="shared" ca="1" si="10"/>
        <v/>
      </c>
      <c r="S24" s="30" t="str">
        <f t="shared" ca="1" si="10"/>
        <v/>
      </c>
      <c r="T24" s="30" t="str">
        <f t="shared" ca="1" si="10"/>
        <v/>
      </c>
      <c r="U24" s="30" t="str">
        <f t="shared" ca="1" si="10"/>
        <v/>
      </c>
      <c r="V24" s="30" t="str">
        <f t="shared" ca="1" si="10"/>
        <v/>
      </c>
      <c r="W24" s="30" t="str">
        <f t="shared" ca="1" si="10"/>
        <v/>
      </c>
      <c r="X24" s="30" t="str">
        <f t="shared" ca="1" si="10"/>
        <v/>
      </c>
      <c r="Y24" s="30" t="str">
        <f t="shared" ref="Y24:AM31" ca="1" si="16">IF(AND($C24="Objetivo",Y$5&gt;=$F24,Y$5&lt;=$F24+$G24-1),2,IF(AND($C24="Hito",Y$5&gt;=$F24,Y$5&lt;=$F24+$G24-1),1,""))</f>
        <v/>
      </c>
      <c r="Z24" s="30" t="str">
        <f t="shared" ca="1" si="16"/>
        <v/>
      </c>
      <c r="AA24" s="30" t="str">
        <f t="shared" ca="1" si="16"/>
        <v/>
      </c>
      <c r="AB24" s="30" t="str">
        <f t="shared" ca="1" si="16"/>
        <v/>
      </c>
      <c r="AC24" s="30" t="str">
        <f t="shared" ca="1" si="16"/>
        <v/>
      </c>
      <c r="AD24" s="30" t="str">
        <f t="shared" ca="1" si="16"/>
        <v/>
      </c>
      <c r="AE24" s="30" t="str">
        <f t="shared" ca="1" si="16"/>
        <v/>
      </c>
      <c r="AF24" s="30" t="str">
        <f t="shared" ca="1" si="16"/>
        <v/>
      </c>
      <c r="AG24" s="30" t="str">
        <f t="shared" ca="1" si="16"/>
        <v/>
      </c>
      <c r="AH24" s="30" t="str">
        <f t="shared" ca="1" si="16"/>
        <v/>
      </c>
      <c r="AI24" s="30" t="str">
        <f t="shared" ca="1" si="16"/>
        <v/>
      </c>
      <c r="AJ24" s="30" t="str">
        <f t="shared" ca="1" si="16"/>
        <v/>
      </c>
      <c r="AK24" s="30" t="str">
        <f t="shared" ca="1" si="16"/>
        <v/>
      </c>
      <c r="AL24" s="30" t="str">
        <f t="shared" ca="1" si="16"/>
        <v/>
      </c>
      <c r="AM24" s="30" t="str">
        <f t="shared" ca="1" si="16"/>
        <v/>
      </c>
      <c r="AN24" s="30" t="str">
        <f t="shared" ca="1" si="14"/>
        <v/>
      </c>
      <c r="AO24" s="30" t="str">
        <f t="shared" ca="1" si="14"/>
        <v/>
      </c>
      <c r="AP24" s="30" t="str">
        <f t="shared" ca="1" si="14"/>
        <v/>
      </c>
      <c r="AQ24" s="30" t="str">
        <f t="shared" ca="1" si="14"/>
        <v/>
      </c>
      <c r="AR24" s="30" t="str">
        <f t="shared" ca="1" si="14"/>
        <v/>
      </c>
      <c r="AS24" s="30" t="str">
        <f t="shared" ca="1" si="14"/>
        <v/>
      </c>
      <c r="AT24" s="30" t="str">
        <f t="shared" ca="1" si="14"/>
        <v/>
      </c>
      <c r="AU24" s="30" t="str">
        <f t="shared" ca="1" si="14"/>
        <v/>
      </c>
      <c r="AV24" s="30" t="str">
        <f t="shared" ca="1" si="14"/>
        <v/>
      </c>
      <c r="AW24" s="30" t="str">
        <f t="shared" ca="1" si="14"/>
        <v/>
      </c>
      <c r="AX24" s="30" t="str">
        <f t="shared" ca="1" si="14"/>
        <v/>
      </c>
      <c r="AY24" s="30" t="str">
        <f t="shared" ca="1" si="14"/>
        <v/>
      </c>
      <c r="AZ24" s="30" t="str">
        <f t="shared" ca="1" si="14"/>
        <v/>
      </c>
      <c r="BA24" s="30" t="str">
        <f t="shared" ca="1" si="14"/>
        <v/>
      </c>
      <c r="BB24" s="30" t="str">
        <f t="shared" ca="1" si="14"/>
        <v/>
      </c>
      <c r="BC24" s="30" t="str">
        <f t="shared" ca="1" si="14"/>
        <v/>
      </c>
      <c r="BD24" s="30" t="str">
        <f t="shared" ca="1" si="15"/>
        <v/>
      </c>
      <c r="BE24" s="30" t="str">
        <f t="shared" ca="1" si="15"/>
        <v/>
      </c>
      <c r="BF24" s="30" t="str">
        <f t="shared" ca="1" si="15"/>
        <v/>
      </c>
      <c r="BG24" s="30" t="str">
        <f t="shared" ca="1" si="15"/>
        <v/>
      </c>
      <c r="BH24" s="30" t="str">
        <f t="shared" ca="1" si="15"/>
        <v/>
      </c>
      <c r="BI24" s="30" t="str">
        <f t="shared" ca="1" si="15"/>
        <v/>
      </c>
      <c r="BJ24" s="30" t="str">
        <f t="shared" ca="1" si="15"/>
        <v/>
      </c>
      <c r="BK24" s="30" t="str">
        <f t="shared" ca="1" si="15"/>
        <v/>
      </c>
      <c r="BL24" s="30" t="str">
        <f t="shared" ca="1" si="15"/>
        <v/>
      </c>
    </row>
    <row r="25" spans="1:64" s="1" customFormat="1" ht="30" customHeight="1" x14ac:dyDescent="0.35">
      <c r="A25" s="12"/>
      <c r="B25" s="43" t="s">
        <v>17</v>
      </c>
      <c r="C25" s="27" t="s">
        <v>24</v>
      </c>
      <c r="D25" s="27" t="s">
        <v>40</v>
      </c>
      <c r="E25" s="24">
        <v>0.99</v>
      </c>
      <c r="F25" s="25">
        <f ca="1">F23+7</f>
        <v>45089</v>
      </c>
      <c r="G25" s="26">
        <v>5</v>
      </c>
      <c r="H25" s="20"/>
      <c r="I25" s="30" t="str">
        <f t="shared" ref="I25:X31" ca="1" si="17">IF(AND($C25="Objetivo",I$5&gt;=$F25,I$5&lt;=$F25+$G25-1),2,IF(AND($C25="Hito",I$5&gt;=$F25,I$5&lt;=$F25+$G25-1),1,""))</f>
        <v/>
      </c>
      <c r="J25" s="30" t="str">
        <f t="shared" ca="1" si="17"/>
        <v/>
      </c>
      <c r="K25" s="30" t="str">
        <f t="shared" ca="1" si="17"/>
        <v/>
      </c>
      <c r="L25" s="30" t="str">
        <f t="shared" ca="1" si="17"/>
        <v/>
      </c>
      <c r="M25" s="30" t="str">
        <f t="shared" ca="1" si="17"/>
        <v/>
      </c>
      <c r="N25" s="30" t="str">
        <f t="shared" ca="1" si="17"/>
        <v/>
      </c>
      <c r="O25" s="30" t="str">
        <f t="shared" ca="1" si="17"/>
        <v/>
      </c>
      <c r="P25" s="30" t="str">
        <f t="shared" ca="1" si="17"/>
        <v/>
      </c>
      <c r="Q25" s="30" t="str">
        <f t="shared" ca="1" si="17"/>
        <v/>
      </c>
      <c r="R25" s="30" t="str">
        <f t="shared" ca="1" si="17"/>
        <v/>
      </c>
      <c r="S25" s="30" t="str">
        <f t="shared" ca="1" si="17"/>
        <v/>
      </c>
      <c r="T25" s="30" t="str">
        <f t="shared" ca="1" si="17"/>
        <v/>
      </c>
      <c r="U25" s="30" t="str">
        <f t="shared" ca="1" si="17"/>
        <v/>
      </c>
      <c r="V25" s="30" t="str">
        <f t="shared" ca="1" si="17"/>
        <v/>
      </c>
      <c r="W25" s="30" t="str">
        <f t="shared" ca="1" si="17"/>
        <v/>
      </c>
      <c r="X25" s="30" t="str">
        <f t="shared" ca="1" si="17"/>
        <v/>
      </c>
      <c r="Y25" s="30" t="str">
        <f t="shared" ca="1" si="16"/>
        <v/>
      </c>
      <c r="Z25" s="30" t="str">
        <f t="shared" ca="1" si="16"/>
        <v/>
      </c>
      <c r="AA25" s="30" t="str">
        <f t="shared" ca="1" si="16"/>
        <v/>
      </c>
      <c r="AB25" s="30" t="str">
        <f t="shared" ca="1" si="16"/>
        <v/>
      </c>
      <c r="AC25" s="30" t="str">
        <f t="shared" ca="1" si="16"/>
        <v/>
      </c>
      <c r="AD25" s="30" t="str">
        <f t="shared" ca="1" si="16"/>
        <v/>
      </c>
      <c r="AE25" s="30" t="str">
        <f t="shared" ca="1" si="16"/>
        <v/>
      </c>
      <c r="AF25" s="30" t="str">
        <f t="shared" ca="1" si="16"/>
        <v/>
      </c>
      <c r="AG25" s="30" t="str">
        <f t="shared" ca="1" si="16"/>
        <v/>
      </c>
      <c r="AH25" s="30" t="str">
        <f t="shared" ca="1" si="16"/>
        <v/>
      </c>
      <c r="AI25" s="30" t="str">
        <f t="shared" ca="1" si="16"/>
        <v/>
      </c>
      <c r="AJ25" s="30" t="str">
        <f t="shared" ca="1" si="16"/>
        <v/>
      </c>
      <c r="AK25" s="30" t="str">
        <f t="shared" ca="1" si="16"/>
        <v/>
      </c>
      <c r="AL25" s="30" t="str">
        <f t="shared" ca="1" si="16"/>
        <v/>
      </c>
      <c r="AM25" s="30" t="str">
        <f t="shared" ca="1" si="16"/>
        <v/>
      </c>
      <c r="AN25" s="30" t="str">
        <f t="shared" ca="1" si="14"/>
        <v/>
      </c>
      <c r="AO25" s="30" t="str">
        <f t="shared" ca="1" si="14"/>
        <v/>
      </c>
      <c r="AP25" s="30" t="str">
        <f t="shared" ca="1" si="14"/>
        <v/>
      </c>
      <c r="AQ25" s="30" t="str">
        <f t="shared" ca="1" si="14"/>
        <v/>
      </c>
      <c r="AR25" s="30" t="str">
        <f t="shared" ca="1" si="14"/>
        <v/>
      </c>
      <c r="AS25" s="30" t="str">
        <f t="shared" ca="1" si="14"/>
        <v/>
      </c>
      <c r="AT25" s="30" t="str">
        <f t="shared" ca="1" si="14"/>
        <v/>
      </c>
      <c r="AU25" s="30" t="str">
        <f t="shared" ca="1" si="14"/>
        <v/>
      </c>
      <c r="AV25" s="30" t="str">
        <f t="shared" ca="1" si="14"/>
        <v/>
      </c>
      <c r="AW25" s="30" t="str">
        <f t="shared" ca="1" si="14"/>
        <v/>
      </c>
      <c r="AX25" s="30" t="str">
        <f t="shared" ca="1" si="14"/>
        <v/>
      </c>
      <c r="AY25" s="30" t="str">
        <f t="shared" ca="1" si="14"/>
        <v/>
      </c>
      <c r="AZ25" s="30" t="str">
        <f t="shared" ca="1" si="14"/>
        <v/>
      </c>
      <c r="BA25" s="30" t="str">
        <f t="shared" ca="1" si="14"/>
        <v/>
      </c>
      <c r="BB25" s="30" t="str">
        <f t="shared" ca="1" si="14"/>
        <v/>
      </c>
      <c r="BC25" s="30" t="str">
        <f t="shared" ca="1" si="14"/>
        <v/>
      </c>
      <c r="BD25" s="30" t="str">
        <f t="shared" ca="1" si="15"/>
        <v/>
      </c>
      <c r="BE25" s="30" t="str">
        <f t="shared" ca="1" si="15"/>
        <v/>
      </c>
      <c r="BF25" s="30" t="str">
        <f t="shared" ca="1" si="15"/>
        <v/>
      </c>
      <c r="BG25" s="30" t="str">
        <f t="shared" ca="1" si="15"/>
        <v/>
      </c>
      <c r="BH25" s="30" t="str">
        <f t="shared" ca="1" si="15"/>
        <v/>
      </c>
      <c r="BI25" s="30" t="str">
        <f t="shared" ca="1" si="15"/>
        <v/>
      </c>
      <c r="BJ25" s="30" t="str">
        <f t="shared" ca="1" si="15"/>
        <v/>
      </c>
      <c r="BK25" s="30" t="str">
        <f t="shared" ca="1" si="15"/>
        <v/>
      </c>
      <c r="BL25" s="30" t="str">
        <f t="shared" ca="1" si="15"/>
        <v/>
      </c>
    </row>
    <row r="26" spans="1:64" s="1" customFormat="1" ht="30" customHeight="1" x14ac:dyDescent="0.35">
      <c r="A26" s="12"/>
      <c r="B26" s="43" t="s">
        <v>55</v>
      </c>
      <c r="C26" s="27" t="s">
        <v>24</v>
      </c>
      <c r="D26" s="27" t="s">
        <v>40</v>
      </c>
      <c r="E26" s="24">
        <v>1</v>
      </c>
      <c r="F26" s="25">
        <f ca="1">F25+7</f>
        <v>45096</v>
      </c>
      <c r="G26" s="26">
        <v>6</v>
      </c>
      <c r="H26" s="20"/>
      <c r="I26" s="30" t="str">
        <f t="shared" ca="1" si="17"/>
        <v/>
      </c>
      <c r="J26" s="30" t="str">
        <f t="shared" ca="1" si="17"/>
        <v/>
      </c>
      <c r="K26" s="30" t="str">
        <f t="shared" ca="1" si="17"/>
        <v/>
      </c>
      <c r="L26" s="30" t="str">
        <f t="shared" ca="1" si="17"/>
        <v/>
      </c>
      <c r="M26" s="30" t="str">
        <f t="shared" ca="1" si="17"/>
        <v/>
      </c>
      <c r="N26" s="30" t="str">
        <f t="shared" ca="1" si="17"/>
        <v/>
      </c>
      <c r="O26" s="30" t="str">
        <f t="shared" ca="1" si="17"/>
        <v/>
      </c>
      <c r="P26" s="30" t="str">
        <f t="shared" ca="1" si="17"/>
        <v/>
      </c>
      <c r="Q26" s="30" t="str">
        <f t="shared" ca="1" si="17"/>
        <v/>
      </c>
      <c r="R26" s="30" t="str">
        <f t="shared" ca="1" si="17"/>
        <v/>
      </c>
      <c r="S26" s="30" t="str">
        <f t="shared" ca="1" si="17"/>
        <v/>
      </c>
      <c r="T26" s="30" t="str">
        <f t="shared" ca="1" si="17"/>
        <v/>
      </c>
      <c r="U26" s="30" t="str">
        <f t="shared" ca="1" si="17"/>
        <v/>
      </c>
      <c r="V26" s="30" t="str">
        <f t="shared" ca="1" si="17"/>
        <v/>
      </c>
      <c r="W26" s="30" t="str">
        <f t="shared" ca="1" si="17"/>
        <v/>
      </c>
      <c r="X26" s="30" t="str">
        <f t="shared" ca="1" si="17"/>
        <v/>
      </c>
      <c r="Y26" s="30" t="str">
        <f t="shared" ca="1" si="16"/>
        <v/>
      </c>
      <c r="Z26" s="30" t="str">
        <f t="shared" ca="1" si="16"/>
        <v/>
      </c>
      <c r="AA26" s="30" t="str">
        <f t="shared" ca="1" si="16"/>
        <v/>
      </c>
      <c r="AB26" s="30" t="str">
        <f t="shared" ca="1" si="16"/>
        <v/>
      </c>
      <c r="AC26" s="30" t="str">
        <f t="shared" ca="1" si="16"/>
        <v/>
      </c>
      <c r="AD26" s="30" t="str">
        <f t="shared" ca="1" si="16"/>
        <v/>
      </c>
      <c r="AE26" s="30" t="str">
        <f t="shared" ca="1" si="16"/>
        <v/>
      </c>
      <c r="AF26" s="30" t="str">
        <f t="shared" ca="1" si="16"/>
        <v/>
      </c>
      <c r="AG26" s="30" t="str">
        <f t="shared" ca="1" si="16"/>
        <v/>
      </c>
      <c r="AH26" s="30" t="str">
        <f t="shared" ca="1" si="16"/>
        <v/>
      </c>
      <c r="AI26" s="30" t="str">
        <f t="shared" ca="1" si="16"/>
        <v/>
      </c>
      <c r="AJ26" s="30" t="str">
        <f t="shared" ca="1" si="16"/>
        <v/>
      </c>
      <c r="AK26" s="30" t="str">
        <f t="shared" ca="1" si="16"/>
        <v/>
      </c>
      <c r="AL26" s="30" t="str">
        <f t="shared" ca="1" si="16"/>
        <v/>
      </c>
      <c r="AM26" s="30" t="str">
        <f t="shared" ca="1" si="16"/>
        <v/>
      </c>
      <c r="AN26" s="30" t="str">
        <f t="shared" ca="1" si="14"/>
        <v/>
      </c>
      <c r="AO26" s="30" t="str">
        <f t="shared" ca="1" si="14"/>
        <v/>
      </c>
      <c r="AP26" s="30" t="str">
        <f t="shared" ca="1" si="14"/>
        <v/>
      </c>
      <c r="AQ26" s="30" t="str">
        <f t="shared" ca="1" si="14"/>
        <v/>
      </c>
      <c r="AR26" s="30" t="str">
        <f t="shared" ca="1" si="14"/>
        <v/>
      </c>
      <c r="AS26" s="30" t="str">
        <f t="shared" ca="1" si="14"/>
        <v/>
      </c>
      <c r="AT26" s="30" t="str">
        <f t="shared" ca="1" si="14"/>
        <v/>
      </c>
      <c r="AU26" s="30" t="str">
        <f t="shared" ca="1" si="14"/>
        <v/>
      </c>
      <c r="AV26" s="30" t="str">
        <f t="shared" ca="1" si="14"/>
        <v/>
      </c>
      <c r="AW26" s="30" t="str">
        <f t="shared" ca="1" si="14"/>
        <v/>
      </c>
      <c r="AX26" s="30" t="str">
        <f t="shared" ca="1" si="14"/>
        <v/>
      </c>
      <c r="AY26" s="30" t="str">
        <f t="shared" ca="1" si="14"/>
        <v/>
      </c>
      <c r="AZ26" s="30" t="str">
        <f t="shared" ca="1" si="14"/>
        <v/>
      </c>
      <c r="BA26" s="30" t="str">
        <f t="shared" ca="1" si="14"/>
        <v/>
      </c>
      <c r="BB26" s="30" t="str">
        <f t="shared" ca="1" si="14"/>
        <v/>
      </c>
      <c r="BC26" s="30" t="str">
        <f t="shared" ca="1" si="14"/>
        <v/>
      </c>
      <c r="BD26" s="30" t="str">
        <f t="shared" ca="1" si="15"/>
        <v/>
      </c>
      <c r="BE26" s="30" t="str">
        <f t="shared" ca="1" si="15"/>
        <v/>
      </c>
      <c r="BF26" s="30" t="str">
        <f t="shared" ca="1" si="15"/>
        <v/>
      </c>
      <c r="BG26" s="30" t="str">
        <f t="shared" ca="1" si="15"/>
        <v/>
      </c>
      <c r="BH26" s="30" t="str">
        <f t="shared" ca="1" si="15"/>
        <v/>
      </c>
      <c r="BI26" s="30" t="str">
        <f t="shared" ca="1" si="15"/>
        <v/>
      </c>
      <c r="BJ26" s="30" t="str">
        <f t="shared" ca="1" si="15"/>
        <v/>
      </c>
      <c r="BK26" s="30" t="str">
        <f t="shared" ca="1" si="15"/>
        <v/>
      </c>
      <c r="BL26" s="30" t="str">
        <f t="shared" ca="1" si="15"/>
        <v/>
      </c>
    </row>
    <row r="27" spans="1:64" s="1" customFormat="1" ht="30" customHeight="1" x14ac:dyDescent="0.35">
      <c r="A27" s="12"/>
      <c r="B27" s="43" t="s">
        <v>57</v>
      </c>
      <c r="C27" s="27" t="s">
        <v>24</v>
      </c>
      <c r="D27" s="27" t="s">
        <v>40</v>
      </c>
      <c r="E27" s="24">
        <v>0.97</v>
      </c>
      <c r="F27" s="25">
        <f ca="1">F26+7</f>
        <v>45103</v>
      </c>
      <c r="G27" s="26">
        <v>5</v>
      </c>
      <c r="H27" s="20"/>
      <c r="I27" s="30" t="str">
        <f t="shared" ca="1" si="17"/>
        <v/>
      </c>
      <c r="J27" s="30" t="str">
        <f t="shared" ca="1" si="17"/>
        <v/>
      </c>
      <c r="K27" s="30" t="str">
        <f t="shared" ca="1" si="17"/>
        <v/>
      </c>
      <c r="L27" s="30" t="str">
        <f t="shared" ca="1" si="17"/>
        <v/>
      </c>
      <c r="M27" s="30" t="str">
        <f t="shared" ca="1" si="17"/>
        <v/>
      </c>
      <c r="N27" s="30" t="str">
        <f t="shared" ca="1" si="17"/>
        <v/>
      </c>
      <c r="O27" s="30" t="str">
        <f t="shared" ca="1" si="17"/>
        <v/>
      </c>
      <c r="P27" s="30" t="str">
        <f t="shared" ca="1" si="17"/>
        <v/>
      </c>
      <c r="Q27" s="30" t="str">
        <f t="shared" ca="1" si="17"/>
        <v/>
      </c>
      <c r="R27" s="30" t="str">
        <f t="shared" ca="1" si="17"/>
        <v/>
      </c>
      <c r="S27" s="30" t="str">
        <f t="shared" ca="1" si="17"/>
        <v/>
      </c>
      <c r="T27" s="30" t="str">
        <f t="shared" ca="1" si="17"/>
        <v/>
      </c>
      <c r="U27" s="30" t="str">
        <f t="shared" ca="1" si="17"/>
        <v/>
      </c>
      <c r="V27" s="30" t="str">
        <f t="shared" ca="1" si="17"/>
        <v/>
      </c>
      <c r="W27" s="30" t="str">
        <f t="shared" ca="1" si="17"/>
        <v/>
      </c>
      <c r="X27" s="30" t="str">
        <f t="shared" ca="1" si="17"/>
        <v/>
      </c>
      <c r="Y27" s="30" t="str">
        <f t="shared" ca="1" si="16"/>
        <v/>
      </c>
      <c r="Z27" s="30" t="str">
        <f t="shared" ca="1" si="16"/>
        <v/>
      </c>
      <c r="AA27" s="30" t="str">
        <f t="shared" ca="1" si="16"/>
        <v/>
      </c>
      <c r="AB27" s="30" t="str">
        <f t="shared" ca="1" si="16"/>
        <v/>
      </c>
      <c r="AC27" s="30" t="str">
        <f t="shared" ca="1" si="16"/>
        <v/>
      </c>
      <c r="AD27" s="30" t="str">
        <f t="shared" ca="1" si="16"/>
        <v/>
      </c>
      <c r="AE27" s="30" t="str">
        <f t="shared" ca="1" si="16"/>
        <v/>
      </c>
      <c r="AF27" s="30" t="str">
        <f t="shared" ca="1" si="16"/>
        <v/>
      </c>
      <c r="AG27" s="30" t="str">
        <f t="shared" ca="1" si="16"/>
        <v/>
      </c>
      <c r="AH27" s="30" t="str">
        <f t="shared" ca="1" si="16"/>
        <v/>
      </c>
      <c r="AI27" s="30" t="str">
        <f t="shared" ca="1" si="16"/>
        <v/>
      </c>
      <c r="AJ27" s="30" t="str">
        <f t="shared" ca="1" si="16"/>
        <v/>
      </c>
      <c r="AK27" s="30" t="str">
        <f t="shared" ca="1" si="16"/>
        <v/>
      </c>
      <c r="AL27" s="30" t="str">
        <f t="shared" ca="1" si="16"/>
        <v/>
      </c>
      <c r="AM27" s="30" t="str">
        <f t="shared" ca="1" si="16"/>
        <v/>
      </c>
      <c r="AN27" s="30" t="str">
        <f t="shared" ca="1" si="14"/>
        <v/>
      </c>
      <c r="AO27" s="30" t="str">
        <f t="shared" ca="1" si="14"/>
        <v/>
      </c>
      <c r="AP27" s="30" t="str">
        <f t="shared" ca="1" si="14"/>
        <v/>
      </c>
      <c r="AQ27" s="30" t="str">
        <f t="shared" ca="1" si="14"/>
        <v/>
      </c>
      <c r="AR27" s="30" t="str">
        <f t="shared" ca="1" si="14"/>
        <v/>
      </c>
      <c r="AS27" s="30" t="str">
        <f t="shared" ca="1" si="14"/>
        <v/>
      </c>
      <c r="AT27" s="30" t="str">
        <f t="shared" ca="1" si="14"/>
        <v/>
      </c>
      <c r="AU27" s="30" t="str">
        <f t="shared" ca="1" si="14"/>
        <v/>
      </c>
      <c r="AV27" s="30" t="str">
        <f t="shared" ca="1" si="14"/>
        <v/>
      </c>
      <c r="AW27" s="30" t="str">
        <f t="shared" ca="1" si="14"/>
        <v/>
      </c>
      <c r="AX27" s="30" t="str">
        <f t="shared" ca="1" si="14"/>
        <v/>
      </c>
      <c r="AY27" s="30" t="str">
        <f t="shared" ca="1" si="14"/>
        <v/>
      </c>
      <c r="AZ27" s="30" t="str">
        <f t="shared" ca="1" si="14"/>
        <v/>
      </c>
      <c r="BA27" s="30" t="str">
        <f t="shared" ca="1" si="14"/>
        <v/>
      </c>
      <c r="BB27" s="30" t="str">
        <f t="shared" ca="1" si="14"/>
        <v/>
      </c>
      <c r="BC27" s="30" t="str">
        <f t="shared" ca="1" si="14"/>
        <v/>
      </c>
      <c r="BD27" s="30" t="str">
        <f t="shared" ca="1" si="15"/>
        <v/>
      </c>
      <c r="BE27" s="30" t="str">
        <f t="shared" ca="1" si="15"/>
        <v/>
      </c>
      <c r="BF27" s="30" t="str">
        <f t="shared" ca="1" si="15"/>
        <v/>
      </c>
      <c r="BG27" s="30" t="str">
        <f t="shared" ca="1" si="15"/>
        <v/>
      </c>
      <c r="BH27" s="30" t="str">
        <f t="shared" ca="1" si="15"/>
        <v/>
      </c>
      <c r="BI27" s="30" t="str">
        <f t="shared" ca="1" si="15"/>
        <v/>
      </c>
      <c r="BJ27" s="30" t="str">
        <f t="shared" ca="1" si="15"/>
        <v/>
      </c>
      <c r="BK27" s="30" t="str">
        <f t="shared" ca="1" si="15"/>
        <v/>
      </c>
      <c r="BL27" s="30" t="str">
        <f t="shared" ca="1" si="15"/>
        <v/>
      </c>
    </row>
    <row r="28" spans="1:64" s="1" customFormat="1" ht="30" customHeight="1" x14ac:dyDescent="0.35">
      <c r="A28" s="12"/>
      <c r="B28" s="43" t="s">
        <v>58</v>
      </c>
      <c r="C28" s="27" t="s">
        <v>24</v>
      </c>
      <c r="D28" s="27" t="s">
        <v>40</v>
      </c>
      <c r="E28" s="24">
        <v>1.97</v>
      </c>
      <c r="F28" s="25">
        <f t="shared" ref="F28:F29" ca="1" si="18">F27+7</f>
        <v>45110</v>
      </c>
      <c r="G28" s="26">
        <v>6</v>
      </c>
      <c r="H28" s="20"/>
      <c r="I28" s="30"/>
      <c r="J28" s="30"/>
      <c r="K28" s="30"/>
      <c r="L28" s="30"/>
      <c r="M28" s="30"/>
      <c r="N28" s="30"/>
      <c r="O28" s="30"/>
      <c r="P28" s="30"/>
      <c r="Q28" s="30"/>
      <c r="R28" s="30"/>
      <c r="S28" s="30"/>
      <c r="T28" s="30"/>
      <c r="U28" s="30"/>
      <c r="V28" s="30"/>
      <c r="W28" s="30"/>
      <c r="X28" s="30"/>
      <c r="Y28" s="30"/>
      <c r="Z28" s="30"/>
      <c r="AA28" s="30"/>
      <c r="AB28" s="30"/>
      <c r="AC28" s="30"/>
      <c r="AD28" s="30"/>
      <c r="AE28" s="30"/>
      <c r="AF28" s="30"/>
      <c r="AG28" s="30"/>
      <c r="AH28" s="30"/>
      <c r="AI28" s="30"/>
      <c r="AJ28" s="30"/>
      <c r="AK28" s="30"/>
      <c r="AL28" s="30"/>
      <c r="AM28" s="30"/>
      <c r="AN28" s="30"/>
      <c r="AO28" s="30"/>
      <c r="AP28" s="30"/>
      <c r="AQ28" s="30"/>
      <c r="AR28" s="30"/>
      <c r="AS28" s="30"/>
      <c r="AT28" s="30"/>
      <c r="AU28" s="30"/>
      <c r="AV28" s="30"/>
      <c r="AW28" s="30"/>
      <c r="AX28" s="30"/>
      <c r="AY28" s="30"/>
      <c r="AZ28" s="30"/>
      <c r="BA28" s="30"/>
      <c r="BB28" s="30"/>
      <c r="BC28" s="30"/>
      <c r="BD28" s="30"/>
      <c r="BE28" s="30"/>
      <c r="BF28" s="30"/>
      <c r="BG28" s="30"/>
      <c r="BH28" s="30"/>
      <c r="BI28" s="30"/>
      <c r="BJ28" s="30"/>
      <c r="BK28" s="30"/>
      <c r="BL28" s="30"/>
    </row>
    <row r="29" spans="1:64" s="1" customFormat="1" ht="30" customHeight="1" x14ac:dyDescent="0.35">
      <c r="A29" s="12"/>
      <c r="B29" s="43" t="s">
        <v>59</v>
      </c>
      <c r="C29" s="27" t="s">
        <v>24</v>
      </c>
      <c r="D29" s="27" t="s">
        <v>40</v>
      </c>
      <c r="E29" s="24">
        <v>2.97</v>
      </c>
      <c r="F29" s="25">
        <f t="shared" ca="1" si="18"/>
        <v>45117</v>
      </c>
      <c r="G29" s="26">
        <v>5</v>
      </c>
      <c r="H29" s="20"/>
      <c r="I29" s="30"/>
      <c r="J29" s="30"/>
      <c r="K29" s="30"/>
      <c r="L29" s="30"/>
      <c r="M29" s="30"/>
      <c r="N29" s="30"/>
      <c r="O29" s="30"/>
      <c r="P29" s="30"/>
      <c r="Q29" s="30"/>
      <c r="R29" s="30"/>
      <c r="S29" s="30"/>
      <c r="T29" s="30"/>
      <c r="U29" s="30"/>
      <c r="V29" s="30"/>
      <c r="W29" s="30"/>
      <c r="X29" s="30"/>
      <c r="Y29" s="30"/>
      <c r="Z29" s="30"/>
      <c r="AA29" s="30"/>
      <c r="AB29" s="30"/>
      <c r="AC29" s="30"/>
      <c r="AD29" s="30"/>
      <c r="AE29" s="30"/>
      <c r="AF29" s="30"/>
      <c r="AG29" s="30"/>
      <c r="AH29" s="30"/>
      <c r="AI29" s="30"/>
      <c r="AJ29" s="30"/>
      <c r="AK29" s="30"/>
      <c r="AL29" s="30"/>
      <c r="AM29" s="30"/>
      <c r="AN29" s="30"/>
      <c r="AO29" s="30"/>
      <c r="AP29" s="30"/>
      <c r="AQ29" s="30"/>
      <c r="AR29" s="30"/>
      <c r="AS29" s="30"/>
      <c r="AT29" s="30"/>
      <c r="AU29" s="30"/>
      <c r="AV29" s="30"/>
      <c r="AW29" s="30"/>
      <c r="AX29" s="30"/>
      <c r="AY29" s="30"/>
      <c r="AZ29" s="30"/>
      <c r="BA29" s="30"/>
      <c r="BB29" s="30"/>
      <c r="BC29" s="30"/>
      <c r="BD29" s="30"/>
      <c r="BE29" s="30"/>
      <c r="BF29" s="30"/>
      <c r="BG29" s="30"/>
      <c r="BH29" s="30"/>
      <c r="BI29" s="30"/>
      <c r="BJ29" s="30"/>
      <c r="BK29" s="30"/>
      <c r="BL29" s="30"/>
    </row>
    <row r="30" spans="1:64" s="1" customFormat="1" ht="30" customHeight="1" x14ac:dyDescent="0.35">
      <c r="A30" s="12"/>
      <c r="B30" s="43" t="s">
        <v>60</v>
      </c>
      <c r="C30" s="27" t="s">
        <v>24</v>
      </c>
      <c r="D30" s="27" t="s">
        <v>40</v>
      </c>
      <c r="E30" s="24">
        <v>0.99</v>
      </c>
      <c r="F30" s="25">
        <f ca="1">F29+7</f>
        <v>45124</v>
      </c>
      <c r="G30" s="26">
        <v>7</v>
      </c>
      <c r="H30" s="20"/>
      <c r="I30" s="30" t="str">
        <f t="shared" ca="1" si="17"/>
        <v/>
      </c>
      <c r="J30" s="30" t="str">
        <f t="shared" ca="1" si="17"/>
        <v/>
      </c>
      <c r="K30" s="30" t="str">
        <f t="shared" ca="1" si="17"/>
        <v/>
      </c>
      <c r="L30" s="30" t="str">
        <f t="shared" ca="1" si="17"/>
        <v/>
      </c>
      <c r="M30" s="30" t="str">
        <f t="shared" ca="1" si="17"/>
        <v/>
      </c>
      <c r="N30" s="30" t="str">
        <f t="shared" ca="1" si="17"/>
        <v/>
      </c>
      <c r="O30" s="30" t="str">
        <f t="shared" ca="1" si="17"/>
        <v/>
      </c>
      <c r="P30" s="30" t="str">
        <f t="shared" ca="1" si="17"/>
        <v/>
      </c>
      <c r="Q30" s="30" t="str">
        <f t="shared" ca="1" si="17"/>
        <v/>
      </c>
      <c r="R30" s="30" t="str">
        <f t="shared" ca="1" si="17"/>
        <v/>
      </c>
      <c r="S30" s="30" t="str">
        <f t="shared" ca="1" si="17"/>
        <v/>
      </c>
      <c r="T30" s="30" t="str">
        <f t="shared" ca="1" si="17"/>
        <v/>
      </c>
      <c r="U30" s="30" t="str">
        <f t="shared" ca="1" si="17"/>
        <v/>
      </c>
      <c r="V30" s="30" t="str">
        <f t="shared" ca="1" si="17"/>
        <v/>
      </c>
      <c r="W30" s="30" t="str">
        <f t="shared" ca="1" si="17"/>
        <v/>
      </c>
      <c r="X30" s="30" t="str">
        <f t="shared" ca="1" si="17"/>
        <v/>
      </c>
      <c r="Y30" s="30" t="str">
        <f t="shared" ca="1" si="16"/>
        <v/>
      </c>
      <c r="Z30" s="30" t="str">
        <f t="shared" ca="1" si="16"/>
        <v/>
      </c>
      <c r="AA30" s="30" t="str">
        <f t="shared" ca="1" si="16"/>
        <v/>
      </c>
      <c r="AB30" s="30" t="str">
        <f t="shared" ca="1" si="16"/>
        <v/>
      </c>
      <c r="AC30" s="30" t="str">
        <f t="shared" ca="1" si="16"/>
        <v/>
      </c>
      <c r="AD30" s="30" t="str">
        <f t="shared" ca="1" si="16"/>
        <v/>
      </c>
      <c r="AE30" s="30" t="str">
        <f t="shared" ca="1" si="16"/>
        <v/>
      </c>
      <c r="AF30" s="30" t="str">
        <f t="shared" ca="1" si="16"/>
        <v/>
      </c>
      <c r="AG30" s="30" t="str">
        <f t="shared" ca="1" si="16"/>
        <v/>
      </c>
      <c r="AH30" s="30" t="str">
        <f t="shared" ca="1" si="16"/>
        <v/>
      </c>
      <c r="AI30" s="30" t="str">
        <f t="shared" ca="1" si="16"/>
        <v/>
      </c>
      <c r="AJ30" s="30" t="str">
        <f t="shared" ca="1" si="16"/>
        <v/>
      </c>
      <c r="AK30" s="30" t="str">
        <f t="shared" ca="1" si="16"/>
        <v/>
      </c>
      <c r="AL30" s="30" t="str">
        <f t="shared" ca="1" si="16"/>
        <v/>
      </c>
      <c r="AM30" s="30" t="str">
        <f t="shared" ca="1" si="16"/>
        <v/>
      </c>
      <c r="AN30" s="30" t="str">
        <f t="shared" ca="1" si="14"/>
        <v/>
      </c>
      <c r="AO30" s="30" t="str">
        <f t="shared" ca="1" si="14"/>
        <v/>
      </c>
      <c r="AP30" s="30" t="str">
        <f t="shared" ca="1" si="14"/>
        <v/>
      </c>
      <c r="AQ30" s="30" t="str">
        <f t="shared" ca="1" si="14"/>
        <v/>
      </c>
      <c r="AR30" s="30" t="str">
        <f t="shared" ca="1" si="14"/>
        <v/>
      </c>
      <c r="AS30" s="30" t="str">
        <f t="shared" ca="1" si="14"/>
        <v/>
      </c>
      <c r="AT30" s="30" t="str">
        <f t="shared" ca="1" si="14"/>
        <v/>
      </c>
      <c r="AU30" s="30" t="str">
        <f t="shared" ca="1" si="14"/>
        <v/>
      </c>
      <c r="AV30" s="30" t="str">
        <f t="shared" ca="1" si="14"/>
        <v/>
      </c>
      <c r="AW30" s="30" t="str">
        <f t="shared" ca="1" si="14"/>
        <v/>
      </c>
      <c r="AX30" s="30" t="str">
        <f t="shared" ca="1" si="14"/>
        <v/>
      </c>
      <c r="AY30" s="30" t="str">
        <f t="shared" ca="1" si="14"/>
        <v/>
      </c>
      <c r="AZ30" s="30" t="str">
        <f t="shared" ca="1" si="14"/>
        <v/>
      </c>
      <c r="BA30" s="30" t="str">
        <f t="shared" ca="1" si="14"/>
        <v/>
      </c>
      <c r="BB30" s="30" t="str">
        <f t="shared" ca="1" si="14"/>
        <v/>
      </c>
      <c r="BC30" s="30" t="str">
        <f t="shared" ca="1" si="14"/>
        <v/>
      </c>
      <c r="BD30" s="30" t="str">
        <f t="shared" ca="1" si="15"/>
        <v/>
      </c>
      <c r="BE30" s="30" t="str">
        <f t="shared" ca="1" si="15"/>
        <v/>
      </c>
      <c r="BF30" s="30" t="str">
        <f t="shared" ca="1" si="15"/>
        <v/>
      </c>
      <c r="BG30" s="30" t="str">
        <f t="shared" ca="1" si="15"/>
        <v/>
      </c>
      <c r="BH30" s="30" t="str">
        <f t="shared" ca="1" si="15"/>
        <v/>
      </c>
      <c r="BI30" s="30" t="str">
        <f t="shared" ca="1" si="15"/>
        <v/>
      </c>
      <c r="BJ30" s="30" t="str">
        <f t="shared" ca="1" si="15"/>
        <v/>
      </c>
      <c r="BK30" s="30" t="str">
        <f t="shared" ca="1" si="15"/>
        <v/>
      </c>
      <c r="BL30" s="30" t="str">
        <f t="shared" ca="1" si="15"/>
        <v/>
      </c>
    </row>
    <row r="31" spans="1:64" s="1" customFormat="1" ht="30" customHeight="1" x14ac:dyDescent="0.35">
      <c r="A31" s="12"/>
      <c r="B31" s="43" t="s">
        <v>56</v>
      </c>
      <c r="C31" s="27" t="s">
        <v>20</v>
      </c>
      <c r="D31" s="27" t="s">
        <v>40</v>
      </c>
      <c r="E31" s="24">
        <v>1</v>
      </c>
      <c r="F31" s="25">
        <f ca="1">F30+7</f>
        <v>45131</v>
      </c>
      <c r="G31" s="26">
        <v>1</v>
      </c>
      <c r="H31" s="20"/>
      <c r="I31" s="30" t="str">
        <f t="shared" ca="1" si="17"/>
        <v/>
      </c>
      <c r="J31" s="30" t="str">
        <f t="shared" ca="1" si="17"/>
        <v/>
      </c>
      <c r="K31" s="30" t="str">
        <f t="shared" ca="1" si="17"/>
        <v/>
      </c>
      <c r="L31" s="30" t="str">
        <f t="shared" ca="1" si="17"/>
        <v/>
      </c>
      <c r="M31" s="30" t="str">
        <f t="shared" ca="1" si="17"/>
        <v/>
      </c>
      <c r="N31" s="30" t="str">
        <f t="shared" ca="1" si="17"/>
        <v/>
      </c>
      <c r="O31" s="30" t="str">
        <f t="shared" ca="1" si="17"/>
        <v/>
      </c>
      <c r="P31" s="30" t="str">
        <f t="shared" ca="1" si="17"/>
        <v/>
      </c>
      <c r="Q31" s="30" t="str">
        <f t="shared" ca="1" si="17"/>
        <v/>
      </c>
      <c r="R31" s="30" t="str">
        <f t="shared" ca="1" si="17"/>
        <v/>
      </c>
      <c r="S31" s="30" t="str">
        <f t="shared" ca="1" si="17"/>
        <v/>
      </c>
      <c r="T31" s="30" t="str">
        <f t="shared" ca="1" si="17"/>
        <v/>
      </c>
      <c r="U31" s="30" t="str">
        <f t="shared" ca="1" si="17"/>
        <v/>
      </c>
      <c r="V31" s="30" t="str">
        <f t="shared" ca="1" si="17"/>
        <v/>
      </c>
      <c r="W31" s="30" t="str">
        <f t="shared" ca="1" si="17"/>
        <v/>
      </c>
      <c r="X31" s="30" t="str">
        <f t="shared" ca="1" si="17"/>
        <v/>
      </c>
      <c r="Y31" s="30" t="str">
        <f t="shared" ca="1" si="16"/>
        <v/>
      </c>
      <c r="Z31" s="30" t="str">
        <f t="shared" ca="1" si="16"/>
        <v/>
      </c>
      <c r="AA31" s="30" t="str">
        <f t="shared" ca="1" si="16"/>
        <v/>
      </c>
      <c r="AB31" s="30" t="str">
        <f t="shared" ca="1" si="16"/>
        <v/>
      </c>
      <c r="AC31" s="30" t="str">
        <f t="shared" ca="1" si="16"/>
        <v/>
      </c>
      <c r="AD31" s="30" t="str">
        <f t="shared" ca="1" si="16"/>
        <v/>
      </c>
      <c r="AE31" s="30" t="str">
        <f t="shared" ca="1" si="16"/>
        <v/>
      </c>
      <c r="AF31" s="30" t="str">
        <f t="shared" ca="1" si="16"/>
        <v/>
      </c>
      <c r="AG31" s="30" t="str">
        <f t="shared" ca="1" si="16"/>
        <v/>
      </c>
      <c r="AH31" s="30" t="str">
        <f t="shared" ca="1" si="16"/>
        <v/>
      </c>
      <c r="AI31" s="30" t="str">
        <f t="shared" ca="1" si="16"/>
        <v/>
      </c>
      <c r="AJ31" s="30" t="str">
        <f t="shared" ca="1" si="16"/>
        <v/>
      </c>
      <c r="AK31" s="30" t="str">
        <f t="shared" ca="1" si="16"/>
        <v/>
      </c>
      <c r="AL31" s="30" t="str">
        <f t="shared" ca="1" si="16"/>
        <v/>
      </c>
      <c r="AM31" s="30" t="str">
        <f t="shared" ca="1" si="16"/>
        <v/>
      </c>
      <c r="AN31" s="30" t="str">
        <f t="shared" ca="1" si="14"/>
        <v/>
      </c>
      <c r="AO31" s="30" t="str">
        <f t="shared" ca="1" si="14"/>
        <v/>
      </c>
      <c r="AP31" s="30" t="str">
        <f t="shared" ca="1" si="14"/>
        <v/>
      </c>
      <c r="AQ31" s="30" t="str">
        <f t="shared" ca="1" si="14"/>
        <v/>
      </c>
      <c r="AR31" s="30" t="str">
        <f t="shared" ca="1" si="14"/>
        <v/>
      </c>
      <c r="AS31" s="30" t="str">
        <f t="shared" ca="1" si="14"/>
        <v/>
      </c>
      <c r="AT31" s="30" t="str">
        <f t="shared" ca="1" si="14"/>
        <v/>
      </c>
      <c r="AU31" s="30" t="str">
        <f t="shared" ca="1" si="14"/>
        <v/>
      </c>
      <c r="AV31" s="30" t="str">
        <f t="shared" ca="1" si="14"/>
        <v/>
      </c>
      <c r="AW31" s="30" t="str">
        <f t="shared" ca="1" si="14"/>
        <v/>
      </c>
      <c r="AX31" s="30" t="str">
        <f t="shared" ca="1" si="14"/>
        <v/>
      </c>
      <c r="AY31" s="30" t="str">
        <f t="shared" ca="1" si="14"/>
        <v/>
      </c>
      <c r="AZ31" s="30" t="str">
        <f t="shared" ca="1" si="14"/>
        <v/>
      </c>
      <c r="BA31" s="30" t="str">
        <f t="shared" ca="1" si="14"/>
        <v/>
      </c>
      <c r="BB31" s="30" t="str">
        <f t="shared" ca="1" si="14"/>
        <v/>
      </c>
      <c r="BC31" s="30" t="str">
        <f t="shared" ca="1" si="14"/>
        <v/>
      </c>
      <c r="BD31" s="30" t="str">
        <f t="shared" ca="1" si="15"/>
        <v/>
      </c>
      <c r="BE31" s="30" t="str">
        <f t="shared" ca="1" si="15"/>
        <v/>
      </c>
      <c r="BF31" s="30" t="str">
        <f t="shared" ca="1" si="15"/>
        <v/>
      </c>
      <c r="BG31" s="30" t="str">
        <f t="shared" ca="1" si="15"/>
        <v/>
      </c>
      <c r="BH31" s="30" t="str">
        <f t="shared" ca="1" si="15"/>
        <v/>
      </c>
      <c r="BI31" s="30" t="str">
        <f t="shared" ca="1" si="15"/>
        <v/>
      </c>
      <c r="BJ31" s="30" t="str">
        <f t="shared" ca="1" si="15"/>
        <v/>
      </c>
      <c r="BK31" s="30" t="str">
        <f t="shared" ca="1" si="15"/>
        <v/>
      </c>
      <c r="BL31" s="30" t="str">
        <f t="shared" ca="1" si="15"/>
        <v/>
      </c>
    </row>
    <row r="32" spans="1:64" s="1" customFormat="1" ht="30" customHeight="1" thickBot="1" x14ac:dyDescent="0.4">
      <c r="A32" s="13" t="s">
        <v>9</v>
      </c>
      <c r="B32" s="18" t="s">
        <v>18</v>
      </c>
      <c r="C32" s="18"/>
      <c r="D32" s="18"/>
      <c r="E32" s="18"/>
      <c r="F32" s="32"/>
      <c r="G32" s="18"/>
      <c r="H32" s="38"/>
      <c r="I32" s="29"/>
      <c r="J32" s="29"/>
      <c r="K32" s="29"/>
      <c r="L32" s="29"/>
      <c r="M32" s="29"/>
      <c r="N32" s="29"/>
      <c r="O32" s="29"/>
      <c r="P32" s="29"/>
      <c r="Q32" s="29"/>
      <c r="R32" s="29"/>
      <c r="S32" s="29"/>
      <c r="T32" s="29"/>
      <c r="U32" s="29"/>
      <c r="V32" s="29"/>
      <c r="W32" s="29"/>
      <c r="X32" s="29"/>
      <c r="Y32" s="29"/>
      <c r="Z32" s="29"/>
      <c r="AA32" s="29"/>
      <c r="AB32" s="29"/>
      <c r="AC32" s="29"/>
      <c r="AD32" s="29"/>
      <c r="AE32" s="29"/>
      <c r="AF32" s="29"/>
      <c r="AG32" s="29"/>
      <c r="AH32" s="29"/>
      <c r="AI32" s="29"/>
      <c r="AJ32" s="29"/>
      <c r="AK32" s="29"/>
      <c r="AL32" s="29"/>
      <c r="AM32" s="29"/>
      <c r="AN32" s="29"/>
      <c r="AO32" s="29"/>
      <c r="AP32" s="29"/>
      <c r="AQ32" s="29"/>
      <c r="AR32" s="29"/>
      <c r="AS32" s="29"/>
      <c r="AT32" s="29"/>
      <c r="AU32" s="29"/>
      <c r="AV32" s="29"/>
      <c r="AW32" s="29"/>
      <c r="AX32" s="29"/>
      <c r="AY32" s="29"/>
      <c r="AZ32" s="29"/>
      <c r="BA32" s="29"/>
      <c r="BB32" s="29"/>
      <c r="BC32" s="29"/>
      <c r="BD32" s="29"/>
      <c r="BE32" s="29"/>
      <c r="BF32" s="29"/>
      <c r="BG32" s="29"/>
      <c r="BH32" s="29"/>
      <c r="BI32" s="29"/>
      <c r="BJ32" s="29"/>
      <c r="BK32" s="29"/>
      <c r="BL32" s="29"/>
    </row>
    <row r="33" spans="4:8" ht="30" customHeight="1" x14ac:dyDescent="0.35">
      <c r="D33" s="4"/>
      <c r="G33" s="14"/>
      <c r="H33" s="3"/>
    </row>
    <row r="34" spans="4:8" ht="30" customHeight="1" x14ac:dyDescent="0.35">
      <c r="D34" s="5"/>
    </row>
  </sheetData>
  <mergeCells count="11">
    <mergeCell ref="C1:G1"/>
    <mergeCell ref="X2:AA2"/>
    <mergeCell ref="AC2:AF2"/>
    <mergeCell ref="D3:E3"/>
    <mergeCell ref="D4:E4"/>
    <mergeCell ref="B5:H5"/>
    <mergeCell ref="F3:G3"/>
    <mergeCell ref="I2:L2"/>
    <mergeCell ref="N2:Q2"/>
    <mergeCell ref="S2:V2"/>
    <mergeCell ref="C2:F2"/>
  </mergeCells>
  <phoneticPr fontId="33" type="noConversion"/>
  <conditionalFormatting sqref="E7:E31">
    <cfRule type="dataBar" priority="8">
      <dataBar>
        <cfvo type="num" val="0"/>
        <cfvo type="num" val="1"/>
        <color theme="0" tint="-0.249977111117893"/>
      </dataBar>
      <extLst>
        <ext xmlns:x14="http://schemas.microsoft.com/office/spreadsheetml/2009/9/main" uri="{B025F937-C7B1-47D3-B67F-A62EFF666E3E}">
          <x14:id>{B0389232-4C98-4A03-AD0E-39F63BAD1F53}</x14:id>
        </ext>
      </extLst>
    </cfRule>
  </conditionalFormatting>
  <conditionalFormatting sqref="I5:BL32">
    <cfRule type="expression" dxfId="8" priority="1">
      <formula>AND(TODAY()&gt;=I$5,TODAY()&lt;J$5)</formula>
    </cfRule>
  </conditionalFormatting>
  <conditionalFormatting sqref="I4:AM4">
    <cfRule type="expression" dxfId="7" priority="7">
      <formula>I$5&lt;=EOMONTH($I$5,0)</formula>
    </cfRule>
  </conditionalFormatting>
  <conditionalFormatting sqref="J4:BL4">
    <cfRule type="expression" dxfId="6" priority="3">
      <formula>AND(J$5&lt;=EOMONTH($I$5,2),J$5&gt;EOMONTH($I$5,0),J$5&gt;EOMONTH($I$5,1))</formula>
    </cfRule>
  </conditionalFormatting>
  <conditionalFormatting sqref="I4:BL4">
    <cfRule type="expression" dxfId="5" priority="2">
      <formula>AND(I$5&lt;=EOMONTH($I$5,1),I$5&gt;EOMONTH($I$5,0))</formula>
    </cfRule>
  </conditionalFormatting>
  <conditionalFormatting sqref="I8:BL31">
    <cfRule type="expression" dxfId="4" priority="24" stopIfTrue="1">
      <formula>AND($C8="Riesgo bajo",I$5&gt;=$F8,I$5&lt;=$F8+$G8-1)</formula>
    </cfRule>
    <cfRule type="expression" dxfId="3" priority="43" stopIfTrue="1">
      <formula>AND($C8="Riesgo alto",I$5&gt;=$F8,I$5&lt;=$F8+$G8-1)</formula>
    </cfRule>
    <cfRule type="expression" dxfId="2" priority="61" stopIfTrue="1">
      <formula>AND($C8="Según lo previsto",I$5&gt;=$F8,I$5&lt;=$F8+$G8-1)</formula>
    </cfRule>
    <cfRule type="expression" dxfId="1" priority="62" stopIfTrue="1">
      <formula>AND($C8="Riesgo medio",I$5&gt;=$F8,I$5&lt;=$F8+$G8-1)</formula>
    </cfRule>
    <cfRule type="expression" dxfId="0" priority="63" stopIfTrue="1">
      <formula>AND(LEN($C8)=0,I$5&gt;=$F8,I$5&lt;=$F8+$G8-1)</formula>
    </cfRule>
  </conditionalFormatting>
  <dataValidations count="2">
    <dataValidation type="whole" operator="greaterThanOrEqual" allowBlank="1" showInputMessage="1" promptTitle="Incremento de desplazamiento" prompt="Al cambiar este número, se desplazará la vista del diagrama de Gantt." sqref="F4" xr:uid="{00000000-0002-0000-0000-000000000000}">
      <formula1>0</formula1>
    </dataValidation>
    <dataValidation type="list" allowBlank="1" showInputMessage="1" showErrorMessage="1" sqref="C10:C13 C15:C31" xr:uid="{00000000-0002-0000-0000-000001000000}">
      <formula1>"Objetivo,Hito,Según lo previsto, Riesgo bajo, Riesgo medio, Riesgo alto"</formula1>
    </dataValidation>
  </dataValidations>
  <printOptions horizontalCentered="1"/>
  <pageMargins left="0.25" right="0.25" top="0.5" bottom="0.5" header="0.3" footer="0.3"/>
  <pageSetup paperSize="9" scale="47" fitToHeight="0" orientation="landscape" r:id="rId1"/>
  <headerFooter differentFirst="1" scaleWithDoc="0">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9" r:id="rId4" name="Barra de desplazamiento 5">
              <controlPr defaultSize="0" autoPict="0" altText="Barra de desplazamiento para desplazarse por la escala de tiempo del proyecto Ghantt.">
                <anchor moveWithCells="1">
                  <from>
                    <xdr:col>8</xdr:col>
                    <xdr:colOff>31750</xdr:colOff>
                    <xdr:row>5</xdr:row>
                    <xdr:rowOff>57150</xdr:rowOff>
                  </from>
                  <to>
                    <xdr:col>63</xdr:col>
                    <xdr:colOff>361950</xdr:colOff>
                    <xdr:row>5</xdr:row>
                    <xdr:rowOff>241300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B0389232-4C98-4A03-AD0E-39F63BAD1F53}">
            <x14:dataBar minLength="0" maxLength="100" gradient="0">
              <x14:cfvo type="num">
                <xm:f>0</xm:f>
              </x14:cfvo>
              <x14:cfvo type="num">
                <xm:f>1</xm:f>
              </x14:cfvo>
              <x14:negativeFillColor rgb="FFFF0000"/>
              <x14:axisColor rgb="FF000000"/>
            </x14:dataBar>
          </x14:cfRule>
          <xm:sqref>E7:E31</xm:sqref>
        </x14:conditionalFormatting>
        <x14:conditionalFormatting xmlns:xm="http://schemas.microsoft.com/office/excel/2006/main">
          <x14:cfRule type="iconSet" priority="70" id="{628A03C6-EE71-4B44-A6BA-69DC45906EA6}">
            <x14:iconSet iconSet="3Stars" showValue="0" custom="1">
              <x14:cfvo type="percent">
                <xm:f>0</xm:f>
              </x14:cfvo>
              <x14:cfvo type="num">
                <xm:f>1</xm:f>
              </x14:cfvo>
              <x14:cfvo type="num">
                <xm:f>2</xm:f>
              </x14:cfvo>
              <x14:cfIcon iconSet="NoIcons" iconId="0"/>
              <x14:cfIcon iconSet="3Flags" iconId="1"/>
              <x14:cfIcon iconSet="3Signs" iconId="0"/>
            </x14:iconSet>
          </x14:cfRule>
          <xm:sqref>I32:BL32</xm:sqref>
        </x14:conditionalFormatting>
        <x14:conditionalFormatting xmlns:xm="http://schemas.microsoft.com/office/excel/2006/main">
          <x14:cfRule type="iconSet" priority="123" id="{628A03C6-EE71-4B44-A6BA-69DC45906EA6}">
            <x14:iconSet iconSet="3Stars" showValue="0" custom="1">
              <x14:cfvo type="percent">
                <xm:f>0</xm:f>
              </x14:cfvo>
              <x14:cfvo type="num">
                <xm:f>1</xm:f>
              </x14:cfvo>
              <x14:cfvo type="num">
                <xm:f>2</xm:f>
              </x14:cfvo>
              <x14:cfIcon iconSet="NoIcons" iconId="0"/>
              <x14:cfIcon iconSet="3Flags" iconId="1"/>
              <x14:cfIcon iconSet="3Signs" iconId="0"/>
            </x14:iconSet>
          </x14:cfRule>
          <xm:sqref>I8:BL31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A5"/>
  <sheetViews>
    <sheetView showGridLines="0" zoomScaleNormal="100" workbookViewId="0"/>
  </sheetViews>
  <sheetFormatPr baseColWidth="10" defaultColWidth="9.1796875" defaultRowHeight="13" x14ac:dyDescent="0.3"/>
  <cols>
    <col min="1" max="1" width="87.1796875" style="8" customWidth="1"/>
    <col min="2" max="16384" width="9.1796875" style="6"/>
  </cols>
  <sheetData>
    <row r="1" spans="1:1" s="7" customFormat="1" ht="26" x14ac:dyDescent="0.6">
      <c r="A1" s="9" t="s">
        <v>33</v>
      </c>
    </row>
    <row r="2" spans="1:1" ht="130.5" x14ac:dyDescent="0.3">
      <c r="A2" s="10" t="s">
        <v>34</v>
      </c>
    </row>
    <row r="3" spans="1:1" ht="26.25" customHeight="1" x14ac:dyDescent="0.3">
      <c r="A3" s="9" t="s">
        <v>35</v>
      </c>
    </row>
    <row r="4" spans="1:1" s="8" customFormat="1" ht="216.75" customHeight="1" x14ac:dyDescent="0.35">
      <c r="A4" s="11" t="s">
        <v>36</v>
      </c>
    </row>
    <row r="5" spans="1:1" ht="14.5" x14ac:dyDescent="0.3">
      <c r="A5" s="39" t="s">
        <v>37</v>
      </c>
    </row>
  </sheetData>
  <pageMargins left="0.5" right="0.5" top="0.5" bottom="0.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3</vt:i4>
      </vt:variant>
    </vt:vector>
  </HeadingPairs>
  <TitlesOfParts>
    <vt:vector size="5" baseType="lpstr">
      <vt:lpstr>Gantt</vt:lpstr>
      <vt:lpstr>Información</vt:lpstr>
      <vt:lpstr>Incremento_de_desplazamiento</vt:lpstr>
      <vt:lpstr>Inicio_del_proyecto</vt:lpstr>
      <vt:lpstr>Gantt!Títulos_a_imprimir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2018-07-14T00:37:31Z</dcterms:created>
  <dcterms:modified xsi:type="dcterms:W3CDTF">2023-04-16T05:04:53Z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Owner">
    <vt:lpwstr>v-abdarl@microsoft.com</vt:lpwstr>
  </property>
  <property fmtid="{D5CDD505-2E9C-101B-9397-08002B2CF9AE}" pid="5" name="MSIP_Label_f42aa342-8706-4288-bd11-ebb85995028c_SetDate">
    <vt:lpwstr>2018-07-14T00:37:39.5197457Z</vt:lpwstr>
  </property>
  <property fmtid="{D5CDD505-2E9C-101B-9397-08002B2CF9AE}" pid="6" name="MSIP_Label_f42aa342-8706-4288-bd11-ebb85995028c_Name">
    <vt:lpwstr>General</vt:lpwstr>
  </property>
  <property fmtid="{D5CDD505-2E9C-101B-9397-08002B2CF9AE}" pid="7" name="MSIP_Label_f42aa342-8706-4288-bd11-ebb85995028c_Application">
    <vt:lpwstr>Microsoft Azure Information Protection</vt:lpwstr>
  </property>
  <property fmtid="{D5CDD505-2E9C-101B-9397-08002B2CF9AE}" pid="8" name="MSIP_Label_f42aa342-8706-4288-bd11-ebb85995028c_Extended_MSFT_Method">
    <vt:lpwstr>Automatic</vt:lpwstr>
  </property>
  <property fmtid="{D5CDD505-2E9C-101B-9397-08002B2CF9AE}" pid="9" name="Sensitivity">
    <vt:lpwstr>General</vt:lpwstr>
  </property>
</Properties>
</file>